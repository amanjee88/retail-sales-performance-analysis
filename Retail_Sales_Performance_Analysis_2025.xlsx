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XCEL Project\"/>
    </mc:Choice>
  </mc:AlternateContent>
  <xr:revisionPtr revIDLastSave="0" documentId="8_{553AEE9D-61EE-4422-901E-32F90233E2F9}" xr6:coauthVersionLast="47" xr6:coauthVersionMax="47" xr10:uidLastSave="{00000000-0000-0000-0000-000000000000}"/>
  <bookViews>
    <workbookView xWindow="-108" yWindow="-108" windowWidth="23256" windowHeight="12456" tabRatio="843" activeTab="7" xr2:uid="{00000000-000D-0000-FFFF-FFFF00000000}"/>
  </bookViews>
  <sheets>
    <sheet name="Dashboard" sheetId="12" r:id="rId1"/>
    <sheet name="Analysis" sheetId="5" r:id="rId2"/>
    <sheet name="Pivot_Analysis" sheetId="7" r:id="rId3"/>
    <sheet name="Chart " sheetId="11" r:id="rId4"/>
    <sheet name="Chart_Data" sheetId="10" r:id="rId5"/>
    <sheet name="Cleaned_Sales_Data" sheetId="4" r:id="rId6"/>
    <sheet name="Cleaning_Log" sheetId="15" r:id="rId7"/>
    <sheet name="Data_Dictionary" sheetId="3" r:id="rId8"/>
    <sheet name="Raw_Sales_Data" sheetId="2" r:id="rId9"/>
    <sheet name="Project_Guide" sheetId="1" r:id="rId10"/>
  </sheet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7" l="1"/>
  <c r="M7" i="12"/>
  <c r="J7" i="12"/>
  <c r="G7" i="12"/>
  <c r="D7" i="12"/>
  <c r="A7" i="12"/>
  <c r="Q3" i="10"/>
  <c r="Q4" i="10"/>
  <c r="Q5" i="10"/>
  <c r="Q6" i="10"/>
  <c r="P3" i="10"/>
  <c r="P4" i="10"/>
  <c r="P5" i="10"/>
  <c r="P6" i="10"/>
  <c r="Q2" i="10"/>
  <c r="P2" i="10"/>
  <c r="N3" i="10"/>
  <c r="N4" i="10"/>
  <c r="N5" i="10"/>
  <c r="N6" i="10"/>
  <c r="N2" i="10"/>
  <c r="M3" i="10"/>
  <c r="M4" i="10"/>
  <c r="M5" i="10"/>
  <c r="M6" i="10"/>
  <c r="M2" i="10"/>
  <c r="K3" i="10"/>
  <c r="K4" i="10"/>
  <c r="K5" i="10"/>
  <c r="J3" i="10"/>
  <c r="J4" i="10"/>
  <c r="J5" i="10"/>
  <c r="K2" i="10"/>
  <c r="J2" i="10"/>
  <c r="H3" i="10"/>
  <c r="H2" i="10"/>
  <c r="G3" i="10"/>
  <c r="G2" i="10"/>
  <c r="E3" i="10"/>
  <c r="E4" i="10"/>
  <c r="E5" i="10"/>
  <c r="D3" i="10"/>
  <c r="D4" i="10"/>
  <c r="D5" i="10"/>
  <c r="E2" i="10"/>
  <c r="D2" i="10"/>
  <c r="B3" i="10"/>
  <c r="B4" i="10"/>
  <c r="B5" i="10"/>
  <c r="B6" i="10"/>
  <c r="B7" i="10"/>
  <c r="B8" i="10"/>
  <c r="B9" i="10"/>
  <c r="B10" i="10"/>
  <c r="B11" i="10"/>
  <c r="B12" i="10"/>
  <c r="B13" i="10"/>
  <c r="A13" i="10"/>
  <c r="A3" i="10"/>
  <c r="A4" i="10"/>
  <c r="A5" i="10"/>
  <c r="A6" i="10"/>
  <c r="A7" i="10"/>
  <c r="A8" i="10"/>
  <c r="A9" i="10"/>
  <c r="A10" i="10"/>
  <c r="A11" i="10"/>
  <c r="A12" i="10"/>
  <c r="B2" i="10"/>
  <c r="A2" i="10"/>
  <c r="N45" i="7"/>
  <c r="N46" i="7"/>
  <c r="N47" i="7"/>
  <c r="N48" i="7"/>
  <c r="N49" i="7"/>
  <c r="N44" i="7"/>
  <c r="M45" i="7"/>
  <c r="M46" i="7"/>
  <c r="M47" i="7"/>
  <c r="M48" i="7"/>
  <c r="M49" i="7"/>
  <c r="M44" i="7"/>
  <c r="F35" i="7"/>
  <c r="F36" i="7"/>
  <c r="F37" i="7"/>
  <c r="F38" i="7"/>
  <c r="F39" i="7"/>
  <c r="F40" i="7"/>
  <c r="F41" i="7"/>
  <c r="F42" i="7"/>
  <c r="F43" i="7"/>
  <c r="F44" i="7"/>
  <c r="F45" i="7"/>
  <c r="F46" i="7"/>
  <c r="F34" i="7"/>
  <c r="E35" i="7"/>
  <c r="E36" i="7"/>
  <c r="E37" i="7"/>
  <c r="E38" i="7"/>
  <c r="E39" i="7"/>
  <c r="E40" i="7"/>
  <c r="E41" i="7"/>
  <c r="E42" i="7"/>
  <c r="E44" i="7"/>
  <c r="E45" i="7"/>
  <c r="E46" i="7"/>
  <c r="E34" i="7"/>
  <c r="N35" i="7"/>
  <c r="N36" i="7"/>
  <c r="N37" i="7"/>
  <c r="N38" i="7"/>
  <c r="N39" i="7"/>
  <c r="N34" i="7"/>
  <c r="M35" i="7"/>
  <c r="M36" i="7"/>
  <c r="M37" i="7"/>
  <c r="M38" i="7"/>
  <c r="M39" i="7"/>
  <c r="M34" i="7"/>
  <c r="N14" i="7"/>
  <c r="N15" i="7"/>
  <c r="N16" i="7"/>
  <c r="N17" i="7"/>
  <c r="N18" i="7"/>
  <c r="N19" i="7"/>
  <c r="N20" i="7"/>
  <c r="N21" i="7"/>
  <c r="N22" i="7"/>
  <c r="N23" i="7"/>
  <c r="N24" i="7"/>
  <c r="N25" i="7"/>
  <c r="N26" i="7"/>
  <c r="N27" i="7"/>
  <c r="N28" i="7"/>
  <c r="N29" i="7"/>
  <c r="N13" i="7"/>
  <c r="M14" i="7"/>
  <c r="M15" i="7"/>
  <c r="M16" i="7"/>
  <c r="M17" i="7"/>
  <c r="M18" i="7"/>
  <c r="M19" i="7"/>
  <c r="M20" i="7"/>
  <c r="M21" i="7"/>
  <c r="M22" i="7"/>
  <c r="M23" i="7"/>
  <c r="M24" i="7"/>
  <c r="M25" i="7"/>
  <c r="M26" i="7"/>
  <c r="M27" i="7"/>
  <c r="M28" i="7"/>
  <c r="M29" i="7"/>
  <c r="M13" i="7"/>
  <c r="F14" i="7"/>
  <c r="F15" i="7"/>
  <c r="F13" i="7"/>
  <c r="E14" i="7"/>
  <c r="E15" i="7"/>
  <c r="E13" i="7"/>
  <c r="N5" i="7"/>
  <c r="N6" i="7"/>
  <c r="N7" i="7"/>
  <c r="N8" i="7"/>
  <c r="N4" i="7"/>
  <c r="M4" i="7"/>
  <c r="M5" i="7"/>
  <c r="M6" i="7"/>
  <c r="M7" i="7"/>
  <c r="M8" i="7"/>
  <c r="F5" i="7"/>
  <c r="F6" i="7"/>
  <c r="F7" i="7"/>
  <c r="F8" i="7"/>
  <c r="F9" i="7"/>
  <c r="F4" i="7"/>
  <c r="E5" i="7"/>
  <c r="E6" i="7"/>
  <c r="E7" i="7"/>
  <c r="E8" i="7"/>
  <c r="E9" i="7"/>
  <c r="E4" i="7"/>
  <c r="B6" i="5"/>
  <c r="B5" i="5"/>
  <c r="B4" i="5"/>
  <c r="B3" i="5"/>
  <c r="B2" i="5"/>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alcChain>
</file>

<file path=xl/sharedStrings.xml><?xml version="1.0" encoding="utf-8"?>
<sst xmlns="http://schemas.openxmlformats.org/spreadsheetml/2006/main" count="5169" uniqueCount="679">
  <si>
    <t>PROJECT 1 — RETAIL SALES PERFORMANCE ANALYSIS</t>
  </si>
  <si>
    <t>Project Goal</t>
  </si>
  <si>
    <t>Analyze retail sales data in Excel to identify sales trends, product/category performance, regional performance, and profitability.</t>
  </si>
  <si>
    <t>Primary Tool</t>
  </si>
  <si>
    <t>Microsoft Excel</t>
  </si>
  <si>
    <t>Skills Practiced</t>
  </si>
  <si>
    <t>Data cleaning, formulas, sorting/filtering, PivotTables, KPI calculation, charts, business insights</t>
  </si>
  <si>
    <t>Business Questions</t>
  </si>
  <si>
    <t>Recommended Workflow</t>
  </si>
  <si>
    <t>1. What are total sales and total profit?</t>
  </si>
  <si>
    <t>1. Inspect the raw data</t>
  </si>
  <si>
    <t>2. What is the monthly sales trend?</t>
  </si>
  <si>
    <t>2. Identify and fix data-quality issues</t>
  </si>
  <si>
    <t>3. Which product categories generate the most sales and profit?</t>
  </si>
  <si>
    <t>3. Create calculated columns where needed</t>
  </si>
  <si>
    <t>4. Which region contributes the most sales?</t>
  </si>
  <si>
    <t>4. Build PivotTables</t>
  </si>
  <si>
    <t>5. Which products have the highest sales?</t>
  </si>
  <si>
    <t>5. Create charts</t>
  </si>
  <si>
    <t>6. What is the average order value?</t>
  </si>
  <si>
    <t>6. Build a one-page dashboard</t>
  </si>
  <si>
    <t>7. How do discounts relate to profitability?</t>
  </si>
  <si>
    <t>7. Write 4–6 business insights</t>
  </si>
  <si>
    <t>8. Which sales channel performs better: Online or Retail Store?</t>
  </si>
  <si>
    <t>Important: Do the cleaning yourself. Do not jump directly to the dashboard. The goal is to demonstrate the complete analyst workflow.</t>
  </si>
  <si>
    <t>Order_ID</t>
  </si>
  <si>
    <t>Order_Date</t>
  </si>
  <si>
    <t>Customer_ID</t>
  </si>
  <si>
    <t>Region</t>
  </si>
  <si>
    <t>Category</t>
  </si>
  <si>
    <t>Product</t>
  </si>
  <si>
    <t>Quantity</t>
  </si>
  <si>
    <t>Unit_Price</t>
  </si>
  <si>
    <t>Discount</t>
  </si>
  <si>
    <t>Sales</t>
  </si>
  <si>
    <t>Profit</t>
  </si>
  <si>
    <t>Payment_Method</t>
  </si>
  <si>
    <t>Sales_Channel</t>
  </si>
  <si>
    <t>ORD-0001</t>
  </si>
  <si>
    <t>CUST-0029</t>
  </si>
  <si>
    <t>North</t>
  </si>
  <si>
    <t>Office Supplies</t>
  </si>
  <si>
    <t>Notebook</t>
  </si>
  <si>
    <t>Cash</t>
  </si>
  <si>
    <t>Online</t>
  </si>
  <si>
    <t>ORD-0002</t>
  </si>
  <si>
    <t>CUST-0109</t>
  </si>
  <si>
    <t>Electronics</t>
  </si>
  <si>
    <t>Laptop</t>
  </si>
  <si>
    <t>UPI</t>
  </si>
  <si>
    <t>ORD-0003</t>
  </si>
  <si>
    <t>CUST-0140</t>
  </si>
  <si>
    <t>West</t>
  </si>
  <si>
    <t>Furniture</t>
  </si>
  <si>
    <t>Filing Cabinet</t>
  </si>
  <si>
    <t>ORD-0004</t>
  </si>
  <si>
    <t>East</t>
  </si>
  <si>
    <t>Net Banking</t>
  </si>
  <si>
    <t>ORD-0005</t>
  </si>
  <si>
    <t>CUST-0089</t>
  </si>
  <si>
    <t>Headphones</t>
  </si>
  <si>
    <t>ORD-0006</t>
  </si>
  <si>
    <t>CUST-0076</t>
  </si>
  <si>
    <t>Office Chair</t>
  </si>
  <si>
    <t>ORD-0007</t>
  </si>
  <si>
    <t>CUST-0098</t>
  </si>
  <si>
    <t>Accessories</t>
  </si>
  <si>
    <t>Webcam</t>
  </si>
  <si>
    <t>Debit Card</t>
  </si>
  <si>
    <t>ORD-0008</t>
  </si>
  <si>
    <t>CUST-0044</t>
  </si>
  <si>
    <t>South</t>
  </si>
  <si>
    <t>ORD-0009</t>
  </si>
  <si>
    <t>CUST-0084</t>
  </si>
  <si>
    <t>Credit Card</t>
  </si>
  <si>
    <t>Retail Store</t>
  </si>
  <si>
    <t>ORD-0010</t>
  </si>
  <si>
    <t>CUST-0128</t>
  </si>
  <si>
    <t>Mouse</t>
  </si>
  <si>
    <t>ORD-0011</t>
  </si>
  <si>
    <t>CUST-0110</t>
  </si>
  <si>
    <t>ORD-0012</t>
  </si>
  <si>
    <t>CUST-0041</t>
  </si>
  <si>
    <t>ORD-0013</t>
  </si>
  <si>
    <t>CUST-0003</t>
  </si>
  <si>
    <t>Printer Ink</t>
  </si>
  <si>
    <t>ORD-0014</t>
  </si>
  <si>
    <t>CUST-0129</t>
  </si>
  <si>
    <t>Keyboard</t>
  </si>
  <si>
    <t>ORD-0015</t>
  </si>
  <si>
    <t>CUST-0139</t>
  </si>
  <si>
    <t>Stapler</t>
  </si>
  <si>
    <t>ORD-0016</t>
  </si>
  <si>
    <t>CUST-0062</t>
  </si>
  <si>
    <t>ORD-0017</t>
  </si>
  <si>
    <t>CUST-0043</t>
  </si>
  <si>
    <t>ORD-0018</t>
  </si>
  <si>
    <t>CUST-0133</t>
  </si>
  <si>
    <t>Monitor</t>
  </si>
  <si>
    <t>ORD-0019</t>
  </si>
  <si>
    <t>CUST-0057</t>
  </si>
  <si>
    <t>ORD-0020</t>
  </si>
  <si>
    <t>CUST-0061</t>
  </si>
  <si>
    <t>ORD-0021</t>
  </si>
  <si>
    <t>CUST-0122</t>
  </si>
  <si>
    <t>ORD-0022</t>
  </si>
  <si>
    <t>CUST-0026</t>
  </si>
  <si>
    <t>ORD-0023</t>
  </si>
  <si>
    <t>ORD-0024</t>
  </si>
  <si>
    <t>ORD-0025</t>
  </si>
  <si>
    <t>ORD-0026</t>
  </si>
  <si>
    <t>CUST-0049</t>
  </si>
  <si>
    <t>ORD-0027</t>
  </si>
  <si>
    <t>CUST-0123</t>
  </si>
  <si>
    <t>ORD-0028</t>
  </si>
  <si>
    <t>CUST-0064</t>
  </si>
  <si>
    <t>ORD-0029</t>
  </si>
  <si>
    <t>CUST-0081</t>
  </si>
  <si>
    <t>ORD-0030</t>
  </si>
  <si>
    <t>Bookshelf</t>
  </si>
  <si>
    <t>ORD-0031</t>
  </si>
  <si>
    <t>Printer Paper</t>
  </si>
  <si>
    <t>ORD-0032</t>
  </si>
  <si>
    <t>CUST-0030</t>
  </si>
  <si>
    <t>ORD-0033</t>
  </si>
  <si>
    <t>CUST-0068</t>
  </si>
  <si>
    <t>ORD-0034</t>
  </si>
  <si>
    <t>CUST-0034</t>
  </si>
  <si>
    <t>ORD-0035</t>
  </si>
  <si>
    <t>CUST-0039</t>
  </si>
  <si>
    <t>ORD-0036</t>
  </si>
  <si>
    <t>CUST-0054</t>
  </si>
  <si>
    <t>ORD-0037</t>
  </si>
  <si>
    <t>CUST-0046</t>
  </si>
  <si>
    <t>ORD-0038</t>
  </si>
  <si>
    <t>USB Hub</t>
  </si>
  <si>
    <t>ORD-0039</t>
  </si>
  <si>
    <t>CUST-0059</t>
  </si>
  <si>
    <t>ORD-0040</t>
  </si>
  <si>
    <t>CUST-0131</t>
  </si>
  <si>
    <t>ORD-0041</t>
  </si>
  <si>
    <t>ORD-0042</t>
  </si>
  <si>
    <t>CUST-0012</t>
  </si>
  <si>
    <t>ORD-0043</t>
  </si>
  <si>
    <t>CUST-0032</t>
  </si>
  <si>
    <t>ORD-0044</t>
  </si>
  <si>
    <t>CUST-0108</t>
  </si>
  <si>
    <t>ORD-0045</t>
  </si>
  <si>
    <t>CUST-0111</t>
  </si>
  <si>
    <t>Laptop Bag</t>
  </si>
  <si>
    <t>ORD-0046</t>
  </si>
  <si>
    <t>CUST-0132</t>
  </si>
  <si>
    <t>ORD-0047</t>
  </si>
  <si>
    <t>ORD-0048</t>
  </si>
  <si>
    <t>CUST-0099</t>
  </si>
  <si>
    <t>ORD-0049</t>
  </si>
  <si>
    <t>ORD-0050</t>
  </si>
  <si>
    <t>CUST-0130</t>
  </si>
  <si>
    <t>ORD-0051</t>
  </si>
  <si>
    <t>CUST-0125</t>
  </si>
  <si>
    <t>ORD-0052</t>
  </si>
  <si>
    <t>CUST-0021</t>
  </si>
  <si>
    <t>Desk</t>
  </si>
  <si>
    <t>ORD-0053</t>
  </si>
  <si>
    <t>CUST-0085</t>
  </si>
  <si>
    <t>ORD-0054</t>
  </si>
  <si>
    <t>ORD-0055</t>
  </si>
  <si>
    <t>ORD-0056</t>
  </si>
  <si>
    <t>CUST-0033</t>
  </si>
  <si>
    <t>ORD-0057</t>
  </si>
  <si>
    <t>CUST-0067</t>
  </si>
  <si>
    <t>ORD-0058</t>
  </si>
  <si>
    <t>CUST-0065</t>
  </si>
  <si>
    <t>ORD-0059</t>
  </si>
  <si>
    <t>CUST-0018</t>
  </si>
  <si>
    <t>ORD-0060</t>
  </si>
  <si>
    <t>ORD-0061</t>
  </si>
  <si>
    <t>CUST-0028</t>
  </si>
  <si>
    <t>ORD-0062</t>
  </si>
  <si>
    <t>CUST-0078</t>
  </si>
  <si>
    <t>ORD-0063</t>
  </si>
  <si>
    <t>ORD-0064</t>
  </si>
  <si>
    <t>CUST-0070</t>
  </si>
  <si>
    <t>ORD-0065</t>
  </si>
  <si>
    <t>CUST-0116</t>
  </si>
  <si>
    <t>ORD-0066</t>
  </si>
  <si>
    <t>CUST-0055</t>
  </si>
  <si>
    <t>ORD-0067</t>
  </si>
  <si>
    <t>ORD-0068</t>
  </si>
  <si>
    <t>CUST-0005</t>
  </si>
  <si>
    <t>ORD-0069</t>
  </si>
  <si>
    <t>CUST-0136</t>
  </si>
  <si>
    <t>ORD-0070</t>
  </si>
  <si>
    <t>CUST-0050</t>
  </si>
  <si>
    <t>ORD-0071</t>
  </si>
  <si>
    <t>ORD-0072</t>
  </si>
  <si>
    <t>ORD-0073</t>
  </si>
  <si>
    <t>OFFICE SUPPLIES</t>
  </si>
  <si>
    <t>ORD-0074</t>
  </si>
  <si>
    <t>CUST-0103</t>
  </si>
  <si>
    <t>ORD-0075</t>
  </si>
  <si>
    <t>CUST-0031</t>
  </si>
  <si>
    <t>ORD-0076</t>
  </si>
  <si>
    <t>CUST-0016</t>
  </si>
  <si>
    <t>ORD-0077</t>
  </si>
  <si>
    <t>CUST-0001</t>
  </si>
  <si>
    <t>ORD-0078</t>
  </si>
  <si>
    <t>CUST-0060</t>
  </si>
  <si>
    <t>ORD-0079</t>
  </si>
  <si>
    <t>CUST-0019</t>
  </si>
  <si>
    <t>ORD-0080</t>
  </si>
  <si>
    <t>ORD-0081</t>
  </si>
  <si>
    <t>ORD-0082</t>
  </si>
  <si>
    <t>CUST-0011</t>
  </si>
  <si>
    <t>ORD-0083</t>
  </si>
  <si>
    <t>CUST-0121</t>
  </si>
  <si>
    <t>ORD-0084</t>
  </si>
  <si>
    <t>CUST-0127</t>
  </si>
  <si>
    <t>ORD-0085</t>
  </si>
  <si>
    <t>ORD-0086</t>
  </si>
  <si>
    <t>CUST-0114</t>
  </si>
  <si>
    <t>ORD-0087</t>
  </si>
  <si>
    <t>CUST-0008</t>
  </si>
  <si>
    <t>ORD-0088</t>
  </si>
  <si>
    <t>CUST-0119</t>
  </si>
  <si>
    <t>ORD-0089</t>
  </si>
  <si>
    <t>ORD-0090</t>
  </si>
  <si>
    <t>CUST-0071</t>
  </si>
  <si>
    <t>ORD-0091</t>
  </si>
  <si>
    <t>CUST-0115</t>
  </si>
  <si>
    <t>ORD-0092</t>
  </si>
  <si>
    <t>ORD-0093</t>
  </si>
  <si>
    <t>ORD-0094</t>
  </si>
  <si>
    <t>CUST-0135</t>
  </si>
  <si>
    <t>ORD-0095</t>
  </si>
  <si>
    <t>CUST-0102</t>
  </si>
  <si>
    <t>ORD-0096</t>
  </si>
  <si>
    <t>CUST-0074</t>
  </si>
  <si>
    <t>ORD-0097</t>
  </si>
  <si>
    <t>ORD-0098</t>
  </si>
  <si>
    <t>CUST-0047</t>
  </si>
  <si>
    <t>ORD-0099</t>
  </si>
  <si>
    <t>CUST-0037</t>
  </si>
  <si>
    <t>ORD-0100</t>
  </si>
  <si>
    <t>ORD-0101</t>
  </si>
  <si>
    <t>ORD-0102</t>
  </si>
  <si>
    <t>ORD-0103</t>
  </si>
  <si>
    <t>ORD-0104</t>
  </si>
  <si>
    <t>ORD-0105</t>
  </si>
  <si>
    <t>CUST-0107</t>
  </si>
  <si>
    <t>ORD-0106</t>
  </si>
  <si>
    <t>CUST-0124</t>
  </si>
  <si>
    <t>ORD-0107</t>
  </si>
  <si>
    <t>CUST-0094</t>
  </si>
  <si>
    <t>ORD-0108</t>
  </si>
  <si>
    <t>ORD-0109</t>
  </si>
  <si>
    <t>ORD-0110</t>
  </si>
  <si>
    <t>ORD-0111</t>
  </si>
  <si>
    <t>CUST-0040</t>
  </si>
  <si>
    <t>ORD-0112</t>
  </si>
  <si>
    <t>CUST-0095</t>
  </si>
  <si>
    <t>ORD-0113</t>
  </si>
  <si>
    <t>ORD-0114</t>
  </si>
  <si>
    <t>CUST-0086</t>
  </si>
  <si>
    <t>ORD-0115</t>
  </si>
  <si>
    <t>CUST-0038</t>
  </si>
  <si>
    <t>ORD-0116</t>
  </si>
  <si>
    <t>CUST-0007</t>
  </si>
  <si>
    <t>ORD-0117</t>
  </si>
  <si>
    <t>ORD-0118</t>
  </si>
  <si>
    <t>ORD-0119</t>
  </si>
  <si>
    <t>ORD-0120</t>
  </si>
  <si>
    <t>ORD-0121</t>
  </si>
  <si>
    <t>ORD-0122</t>
  </si>
  <si>
    <t>ORD-0123</t>
  </si>
  <si>
    <t>CUST-0025</t>
  </si>
  <si>
    <t>ORD-0124</t>
  </si>
  <si>
    <t>ORD-0125</t>
  </si>
  <si>
    <t>ORD-0126</t>
  </si>
  <si>
    <t>ORD-0128</t>
  </si>
  <si>
    <t>ORD-0129</t>
  </si>
  <si>
    <t>ORD-0130</t>
  </si>
  <si>
    <t>ORD-0131</t>
  </si>
  <si>
    <t>CUST-0079</t>
  </si>
  <si>
    <t>ORD-0132</t>
  </si>
  <si>
    <t>CUST-0066</t>
  </si>
  <si>
    <t>ORD-0133</t>
  </si>
  <si>
    <t>CUST-0137</t>
  </si>
  <si>
    <t>ORD-0134</t>
  </si>
  <si>
    <t>ORD-0135</t>
  </si>
  <si>
    <t>CUST-0118</t>
  </si>
  <si>
    <t>ORD-0136</t>
  </si>
  <si>
    <t>CUST-0080</t>
  </si>
  <si>
    <t>ORD-0137</t>
  </si>
  <si>
    <t>CUST-0090</t>
  </si>
  <si>
    <t>ORD-0138</t>
  </si>
  <si>
    <t>CUST-0020</t>
  </si>
  <si>
    <t>ORD-0139</t>
  </si>
  <si>
    <t>ORD-0140</t>
  </si>
  <si>
    <t>ORD-0141</t>
  </si>
  <si>
    <t>CUST-0024</t>
  </si>
  <si>
    <t>ORD-0142</t>
  </si>
  <si>
    <t>ORD-0143</t>
  </si>
  <si>
    <t>CUST-0113</t>
  </si>
  <si>
    <t>ORD-0144</t>
  </si>
  <si>
    <t>ORD-0145</t>
  </si>
  <si>
    <t>ORD-0146</t>
  </si>
  <si>
    <t>CUST-0097</t>
  </si>
  <si>
    <t>ORD-0147</t>
  </si>
  <si>
    <t>ORD-0148</t>
  </si>
  <si>
    <t>office supplies</t>
  </si>
  <si>
    <t>ORD-0149</t>
  </si>
  <si>
    <t>ORD-0150</t>
  </si>
  <si>
    <t>ORD-0151</t>
  </si>
  <si>
    <t>ORD-0152</t>
  </si>
  <si>
    <t>CUST-0027</t>
  </si>
  <si>
    <t>ORD-0153</t>
  </si>
  <si>
    <t>ORD-0154</t>
  </si>
  <si>
    <t>ORD-0155</t>
  </si>
  <si>
    <t>CUST-0010</t>
  </si>
  <si>
    <t>ORD-0156</t>
  </si>
  <si>
    <t>ORD-0157</t>
  </si>
  <si>
    <t>ORD-0158</t>
  </si>
  <si>
    <t>CUST-0075</t>
  </si>
  <si>
    <t>ORD-0159</t>
  </si>
  <si>
    <t>ORD-0160</t>
  </si>
  <si>
    <t>ORD-0161</t>
  </si>
  <si>
    <t>CUST-0045</t>
  </si>
  <si>
    <t>ORD-0162</t>
  </si>
  <si>
    <t>CUST-0052</t>
  </si>
  <si>
    <t>ORD-0163</t>
  </si>
  <si>
    <t>ORD-0164</t>
  </si>
  <si>
    <t>ORD-0165</t>
  </si>
  <si>
    <t>ORD-0166</t>
  </si>
  <si>
    <t>ORD-0167</t>
  </si>
  <si>
    <t>CUST-0112</t>
  </si>
  <si>
    <t>ORD-0168</t>
  </si>
  <si>
    <t>ORD-0169</t>
  </si>
  <si>
    <t>ORD-0170</t>
  </si>
  <si>
    <t>ORD-0171</t>
  </si>
  <si>
    <t>ORD-0172</t>
  </si>
  <si>
    <t>ORD-0173</t>
  </si>
  <si>
    <t>ORD-0174</t>
  </si>
  <si>
    <t>CUST-0093</t>
  </si>
  <si>
    <t>ORD-0175</t>
  </si>
  <si>
    <t>CUST-0106</t>
  </si>
  <si>
    <t>ORD-0176</t>
  </si>
  <si>
    <t>ORD-0177</t>
  </si>
  <si>
    <t>CUST-0058</t>
  </si>
  <si>
    <t>ORD-0178</t>
  </si>
  <si>
    <t>ORD-0179</t>
  </si>
  <si>
    <t>ORD-0180</t>
  </si>
  <si>
    <t>ORD-0181</t>
  </si>
  <si>
    <t>ORD-0182</t>
  </si>
  <si>
    <t>CUST-0082</t>
  </si>
  <si>
    <t>ORD-0183</t>
  </si>
  <si>
    <t>ORD-0184</t>
  </si>
  <si>
    <t>ORD-0185</t>
  </si>
  <si>
    <t>ORD-0186</t>
  </si>
  <si>
    <t>CUST-0013</t>
  </si>
  <si>
    <t>ORD-0187</t>
  </si>
  <si>
    <t>ORD-0188</t>
  </si>
  <si>
    <t>ORD-0189</t>
  </si>
  <si>
    <t>ORD-0190</t>
  </si>
  <si>
    <t>ORD-0191</t>
  </si>
  <si>
    <t>ORD-0192</t>
  </si>
  <si>
    <t>ORD-0193</t>
  </si>
  <si>
    <t>ORD-0194</t>
  </si>
  <si>
    <t>ORD-0195</t>
  </si>
  <si>
    <t>ORD-0196</t>
  </si>
  <si>
    <t>CUST-0036</t>
  </si>
  <si>
    <t>ORD-0197</t>
  </si>
  <si>
    <t>CUST-0088</t>
  </si>
  <si>
    <t>ORD-0198</t>
  </si>
  <si>
    <t>ORD-0199</t>
  </si>
  <si>
    <t>ORD-0200</t>
  </si>
  <si>
    <t>ORD-0201</t>
  </si>
  <si>
    <t>ORD-0202</t>
  </si>
  <si>
    <t>ORD-0203</t>
  </si>
  <si>
    <t>ORD-0204</t>
  </si>
  <si>
    <t>ORD-0205</t>
  </si>
  <si>
    <t>ORD-0206</t>
  </si>
  <si>
    <t>ORD-0207</t>
  </si>
  <si>
    <t>ORD-0208</t>
  </si>
  <si>
    <t>ORD-0209</t>
  </si>
  <si>
    <t>ORD-0210</t>
  </si>
  <si>
    <t>ORD-0211</t>
  </si>
  <si>
    <t>ORD-0212</t>
  </si>
  <si>
    <t>ORD-0213</t>
  </si>
  <si>
    <t>CUST-0138</t>
  </si>
  <si>
    <t>ORD-0214</t>
  </si>
  <si>
    <t>ORD-0215</t>
  </si>
  <si>
    <t>ORD-0216</t>
  </si>
  <si>
    <t>ORD-0217</t>
  </si>
  <si>
    <t>ORD-0218</t>
  </si>
  <si>
    <t>ORD-0219</t>
  </si>
  <si>
    <t>CUST-0077</t>
  </si>
  <si>
    <t>ORD-0220</t>
  </si>
  <si>
    <t>ORD-0221</t>
  </si>
  <si>
    <t>ORD-0222</t>
  </si>
  <si>
    <t>ORD-0223</t>
  </si>
  <si>
    <t>ORD-0224</t>
  </si>
  <si>
    <t>ORD-0225</t>
  </si>
  <si>
    <t>ORD-0226</t>
  </si>
  <si>
    <t>CUST-0063</t>
  </si>
  <si>
    <t>ORD-0227</t>
  </si>
  <si>
    <t>ORD-0228</t>
  </si>
  <si>
    <t>CUST-0056</t>
  </si>
  <si>
    <t>ORD-0229</t>
  </si>
  <si>
    <t>ORD-0230</t>
  </si>
  <si>
    <t>CUST-0092</t>
  </si>
  <si>
    <t>ORD-0231</t>
  </si>
  <si>
    <t>ORD-0232</t>
  </si>
  <si>
    <t>ORD-0233</t>
  </si>
  <si>
    <t>CUST-0087</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</si>
  <si>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</si>
  <si>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</si>
  <si>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</si>
  <si>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</si>
  <si>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</si>
  <si>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</si>
  <si>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</si>
  <si>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</si>
  <si>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</si>
  <si>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</si>
  <si>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</si>
  <si>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</si>
  <si>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</si>
  <si>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</si>
  <si>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</si>
  <si>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</si>
  <si>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</si>
  <si>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</si>
  <si>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CUST-0069</t>
  </si>
  <si>
    <t>ORD-0252</t>
  </si>
  <si>
    <t>ORD-0253</t>
  </si>
  <si>
    <t>CUST-0035</t>
  </si>
  <si>
    <t>ORD-0254</t>
  </si>
  <si>
    <t>ORD-0255</t>
  </si>
  <si>
    <t>ORD-0256</t>
  </si>
  <si>
    <t>ORD-0257</t>
  </si>
  <si>
    <t>ORD-0258</t>
  </si>
  <si>
    <t>ORD-0259</t>
  </si>
  <si>
    <t>CUST-0091</t>
  </si>
  <si>
    <t>ORD-0260</t>
  </si>
  <si>
    <t>ORD-0261</t>
  </si>
  <si>
    <t>ORD-0262</t>
  </si>
  <si>
    <t>ORD-0263</t>
  </si>
  <si>
    <t>ORD-0264</t>
  </si>
  <si>
    <t>ORD-0265</t>
  </si>
  <si>
    <t>ORD-0266</t>
  </si>
  <si>
    <t>CUST-0072</t>
  </si>
  <si>
    <t>ORD-0267</t>
  </si>
  <si>
    <t>CUST-0126</t>
  </si>
  <si>
    <t>ORD-0268</t>
  </si>
  <si>
    <t>ORD-0269</t>
  </si>
  <si>
    <t>ORD-0270</t>
  </si>
  <si>
    <t>ORD-0271</t>
  </si>
  <si>
    <t>ORD-0272</t>
  </si>
  <si>
    <t>ORD-0273</t>
  </si>
  <si>
    <t>ORD-0274</t>
  </si>
  <si>
    <t>ORD-0275</t>
  </si>
  <si>
    <t>ORD-0277</t>
  </si>
  <si>
    <t>ORD-0278</t>
  </si>
  <si>
    <t>ORD-0279</t>
  </si>
  <si>
    <t>CUST-0101</t>
  </si>
  <si>
    <t>ORD-0280</t>
  </si>
  <si>
    <t>ORD-0281</t>
  </si>
  <si>
    <t>ORD-0282</t>
  </si>
  <si>
    <t>ORD-0283</t>
  </si>
  <si>
    <t>ORD-0284</t>
  </si>
  <si>
    <t>ORD-0285</t>
  </si>
  <si>
    <t>ORD-0286</t>
  </si>
  <si>
    <t>ORD-0287</t>
  </si>
  <si>
    <t>ORD-0288</t>
  </si>
  <si>
    <t>ORD-0289</t>
  </si>
  <si>
    <t>ORD-0290</t>
  </si>
  <si>
    <t>ORD-0291</t>
  </si>
  <si>
    <t>CUST-0073</t>
  </si>
  <si>
    <t>ORD-0292</t>
  </si>
  <si>
    <t>CUST-0014</t>
  </si>
  <si>
    <t>ORD-0293</t>
  </si>
  <si>
    <t>CUST-0004</t>
  </si>
  <si>
    <t>ORD-0294</t>
  </si>
  <si>
    <t>ORD-0295</t>
  </si>
  <si>
    <t>ACCESSORIES</t>
  </si>
  <si>
    <t>ORD-0296</t>
  </si>
  <si>
    <t>ORD-0297</t>
  </si>
  <si>
    <t>ORD-0298</t>
  </si>
  <si>
    <t>ORD-0299</t>
  </si>
  <si>
    <t>CUST-0096</t>
  </si>
  <si>
    <t>ORD-0300</t>
  </si>
  <si>
    <t>ORD-0301</t>
  </si>
  <si>
    <t>ORD-0302</t>
  </si>
  <si>
    <t>ORD-0303</t>
  </si>
  <si>
    <t>ORD-0304</t>
  </si>
  <si>
    <t>ORD-0305</t>
  </si>
  <si>
    <t>CUST-0117</t>
  </si>
  <si>
    <t>ORD-0306</t>
  </si>
  <si>
    <t>ORD-0307</t>
  </si>
  <si>
    <t>ORD-0308</t>
  </si>
  <si>
    <t>ORD-0309</t>
  </si>
  <si>
    <t>CUST-0134</t>
  </si>
  <si>
    <t>ORD-0310</t>
  </si>
  <si>
    <t>ORD-0311</t>
  </si>
  <si>
    <t>ORD-0312</t>
  </si>
  <si>
    <t>ORD-0313</t>
  </si>
  <si>
    <t>ORD-0314</t>
  </si>
  <si>
    <t>ORD-0315</t>
  </si>
  <si>
    <t>ORD-0316</t>
  </si>
  <si>
    <t>ORD-0317</t>
  </si>
  <si>
    <t>CUST-0006</t>
  </si>
  <si>
    <t>ORD-0318</t>
  </si>
  <si>
    <t>ORD-0319</t>
  </si>
  <si>
    <t>ORD-0320</t>
  </si>
  <si>
    <t>ORD-0321</t>
  </si>
  <si>
    <t>ORD-0322</t>
  </si>
  <si>
    <t>ORD-0323</t>
  </si>
  <si>
    <t>CUST-0015</t>
  </si>
  <si>
    <t>ORD-0324</t>
  </si>
  <si>
    <t>ORD-0325</t>
  </si>
  <si>
    <t>ORD-0326</t>
  </si>
  <si>
    <t>ORD-0327</t>
  </si>
  <si>
    <t>ORD-0328</t>
  </si>
  <si>
    <t>ORD-0329</t>
  </si>
  <si>
    <t>ORD-0330</t>
  </si>
  <si>
    <t>ORD-0331</t>
  </si>
  <si>
    <t>CUST-0009</t>
  </si>
  <si>
    <t>ORD-0332</t>
  </si>
  <si>
    <t>ORD-0333</t>
  </si>
  <si>
    <t>ORD-0334</t>
  </si>
  <si>
    <t>ORD-0335</t>
  </si>
  <si>
    <t>ORD-0336</t>
  </si>
  <si>
    <t>ORD-0337</t>
  </si>
  <si>
    <t>ORD-0338</t>
  </si>
  <si>
    <t>ORD-0339</t>
  </si>
  <si>
    <t>ORD-0340</t>
  </si>
  <si>
    <t>ORD-0341</t>
  </si>
  <si>
    <t>ORD-0342</t>
  </si>
  <si>
    <t>CUST-0048</t>
  </si>
  <si>
    <t>ORD-0343</t>
  </si>
  <si>
    <t>ORD-0344</t>
  </si>
  <si>
    <t>ORD-0345</t>
  </si>
  <si>
    <t>ORD-0346</t>
  </si>
  <si>
    <t>ORD-0347</t>
  </si>
  <si>
    <t>ORD-0348</t>
  </si>
  <si>
    <t>ORD-0349</t>
  </si>
  <si>
    <t>ORD-0350</t>
  </si>
  <si>
    <t>Column</t>
  </si>
  <si>
    <t>Description</t>
  </si>
  <si>
    <t>Type / Example</t>
  </si>
  <si>
    <t>Unique order identifier; a few intentional duplicates are included for cleaning practice.</t>
  </si>
  <si>
    <t>Text / ORD-0001</t>
  </si>
  <si>
    <t>Date the order was placed.</t>
  </si>
  <si>
    <t>Date</t>
  </si>
  <si>
    <t>Customer identifier; a few blanks are intentional.</t>
  </si>
  <si>
    <t>Text / CUST-0001</t>
  </si>
  <si>
    <t>Sales region; a few blanks are intentional.</t>
  </si>
  <si>
    <t>North / South / East / West</t>
  </si>
  <si>
    <t>Product category; a few capitalization inconsistencies are intentional.</t>
  </si>
  <si>
    <t>Product purchased.</t>
  </si>
  <si>
    <t>Number of units purchased.</t>
  </si>
  <si>
    <t>1–6</t>
  </si>
  <si>
    <t>Price per unit before discount.</t>
  </si>
  <si>
    <t>₹52,000</t>
  </si>
  <si>
    <t>Discount applied to the order.</t>
  </si>
  <si>
    <t>0%–20%</t>
  </si>
  <si>
    <t>Net sales value after discount.</t>
  </si>
  <si>
    <t>₹46,800</t>
  </si>
  <si>
    <t>Estimated profit for the order.</t>
  </si>
  <si>
    <t>₹6,000</t>
  </si>
  <si>
    <t>Payment method used.</t>
  </si>
  <si>
    <t>UPI / Card / Cash</t>
  </si>
  <si>
    <t>Where the order was completed.</t>
  </si>
  <si>
    <t>Online / Retail Store</t>
  </si>
  <si>
    <t>Count of Order_ID</t>
  </si>
  <si>
    <t>Grand Total</t>
  </si>
  <si>
    <t>Sum of Profit</t>
  </si>
  <si>
    <t>Sum of Sales</t>
  </si>
  <si>
    <t>Unknown</t>
  </si>
  <si>
    <t>ORD-0351</t>
  </si>
  <si>
    <t>ORD-0352</t>
  </si>
  <si>
    <t>Profit_Margin</t>
  </si>
  <si>
    <t>KPI</t>
  </si>
  <si>
    <t>VALUE</t>
  </si>
  <si>
    <t>Total Sales</t>
  </si>
  <si>
    <t>Total Profit</t>
  </si>
  <si>
    <t>Total Orders</t>
  </si>
  <si>
    <t>Average Order Value</t>
  </si>
  <si>
    <t>Overall Profit Margin</t>
  </si>
  <si>
    <t>Regional AOV</t>
  </si>
  <si>
    <t>Regional Profit Margin</t>
  </si>
  <si>
    <t>Category AOV</t>
  </si>
  <si>
    <t>Category Profit Margin</t>
  </si>
  <si>
    <t>Channel AOV</t>
  </si>
  <si>
    <t>Channel Profit Margin</t>
  </si>
  <si>
    <t>Product AOV</t>
  </si>
  <si>
    <t>Product Profit Margin</t>
  </si>
  <si>
    <t>Jan</t>
  </si>
  <si>
    <t>Feb</t>
  </si>
  <si>
    <t>Mar</t>
  </si>
  <si>
    <t>Apr</t>
  </si>
  <si>
    <t>May</t>
  </si>
  <si>
    <t>Jun</t>
  </si>
  <si>
    <t>Jul</t>
  </si>
  <si>
    <t>Aug</t>
  </si>
  <si>
    <t>Sep</t>
  </si>
  <si>
    <t>Oct</t>
  </si>
  <si>
    <t>Nov</t>
  </si>
  <si>
    <t>Dec</t>
  </si>
  <si>
    <t>Months</t>
  </si>
  <si>
    <t>Discount Profit Margin</t>
  </si>
  <si>
    <t>Discount AOV</t>
  </si>
  <si>
    <t>Monthly AOV</t>
  </si>
  <si>
    <t>Monthly Profit Margin</t>
  </si>
  <si>
    <t>Payment Method</t>
  </si>
  <si>
    <t>Payment AOV</t>
  </si>
  <si>
    <t>Payment Profit Margin</t>
  </si>
  <si>
    <t>Month</t>
  </si>
  <si>
    <t>Sales Channel</t>
  </si>
  <si>
    <t>Profit Margin</t>
  </si>
  <si>
    <t>Retail Sales Performance Dashboard</t>
  </si>
  <si>
    <t>2025 | Sales, Profitability &amp; Performance Overview</t>
  </si>
  <si>
    <t>TOTAL SALES</t>
  </si>
  <si>
    <t>TOTAL PROFIT</t>
  </si>
  <si>
    <t>TOTAL ORDERS</t>
  </si>
  <si>
    <t>AVERAGE ORDER VALUE</t>
  </si>
  <si>
    <t>OVERALL PROFIT MARGIN</t>
  </si>
  <si>
    <t>Source: SalesData  |  350 transactions  |   Jan-Dec 2025</t>
  </si>
  <si>
    <t>KEY BUSINESS INSIGHTS</t>
  </si>
  <si>
    <r>
      <rPr>
        <b/>
        <sz val="11"/>
        <rFont val="Carlito"/>
      </rPr>
      <t>Regional Performance:</t>
    </r>
    <r>
      <rPr>
        <sz val="11"/>
        <rFont val="Carlito"/>
      </rPr>
      <t xml:space="preserve"> North recorded the highest total sales at ₹20,84,611.50, generating ₹2,63,281.07 in profit at a 12.63% profit margin from 87 orders.</t>
    </r>
  </si>
  <si>
    <r>
      <rPr>
        <b/>
        <sz val="11"/>
        <rFont val="Carlito"/>
      </rPr>
      <t>Monthly Performance:</t>
    </r>
    <r>
      <rPr>
        <sz val="11"/>
        <rFont val="Carlito"/>
      </rPr>
      <t xml:space="preserve"> October recorded the highest monthly sales at ₹8,70,920.00 from 39 orders, with an average order value of ₹22,331.28.</t>
    </r>
  </si>
  <si>
    <r>
      <rPr>
        <b/>
        <sz val="11"/>
        <rFont val="Carlito"/>
      </rPr>
      <t>Category Performance:</t>
    </r>
    <r>
      <rPr>
        <sz val="11"/>
        <rFont val="Carlito"/>
      </rPr>
      <t xml:space="preserve"> Electronics recorded the highest category sales at ₹38,48,855.00, generating ₹4,70,476.67 in profit with a 12.22% profit margin.</t>
    </r>
  </si>
  <si>
    <r>
      <rPr>
        <b/>
        <sz val="11"/>
        <rFont val="Carlito"/>
      </rPr>
      <t>Discount &amp; Profitability:</t>
    </r>
    <r>
      <rPr>
        <sz val="11"/>
        <rFont val="Carlito"/>
      </rPr>
      <t xml:space="preserve"> The dataset shows a generally declining profit margin at higher discount levels, although the relationship is not strictly decreasing. Profit margin was 16.90% at 0% discount, 12.92% at 5%, 14.59% at 10%, 10.40% at 15%, and 7.57% at 20%.</t>
    </r>
  </si>
  <si>
    <t>RECOMMENDED ACTIONS</t>
  </si>
  <si>
    <r>
      <rPr>
        <b/>
        <sz val="11"/>
        <rFont val="Carlito"/>
      </rPr>
      <t>1. Discount Strategy:</t>
    </r>
    <r>
      <rPr>
        <sz val="11"/>
        <rFont val="Carlito"/>
      </rPr>
      <t xml:space="preserve"> The business should closely monitor discount levels, particularly discounts of 15% and 20%, as the observed profit margin declines to 10.40% and 7.57% respectively. While the relationship is not strictly linear, higher discount levels in this dataset are associated with lower observed profit margins.</t>
    </r>
  </si>
  <si>
    <r>
      <rPr>
        <b/>
        <sz val="11"/>
        <rFont val="Carlito"/>
      </rPr>
      <t>2. Regional Strategy:</t>
    </r>
    <r>
      <rPr>
        <sz val="11"/>
        <rFont val="Carlito"/>
      </rPr>
      <t xml:space="preserve"> The business should evaluate regional performance using Sales, Profit, Order Count, and AOV together rather than relying on order volume alone. The North region generated the highest sales with fewer orders than West, making AOV an important metric for understanding regional performance.</t>
    </r>
  </si>
  <si>
    <r>
      <rPr>
        <b/>
        <sz val="11"/>
        <rFont val="Carlito"/>
      </rPr>
      <t>3. Category Strategy:</t>
    </r>
    <r>
      <rPr>
        <sz val="11"/>
        <rFont val="Carlito"/>
      </rPr>
      <t xml:space="preserve"> The business should evaluate category performance using Sales, Profit, Order Count, AOV, and Profit Margin together. Category-level profitability should be compared with the overall 12.45% margin, with further investigation for categories whose margins are below the overall benchmark.</t>
    </r>
  </si>
  <si>
    <r>
      <rPr>
        <b/>
        <sz val="11"/>
        <rFont val="Carlito"/>
      </rPr>
      <t>4. Channel Strategy:</t>
    </r>
    <r>
      <rPr>
        <sz val="11"/>
        <rFont val="Carlito"/>
      </rPr>
      <t xml:space="preserve"> The business should monitor discount levels by sales channel alongside Sales, Profit, Order Count, AOV, and Profit Margin. Since the two channels show different observed profit margins, further analysis of channel-level discounting and product mix could help explain the difference.</t>
    </r>
  </si>
  <si>
    <t>Issue</t>
  </si>
  <si>
    <t>Field</t>
  </si>
  <si>
    <t>Finding</t>
  </si>
  <si>
    <t>Action Taken</t>
  </si>
  <si>
    <t>Validation</t>
  </si>
  <si>
    <t>Duplicate identifiers</t>
  </si>
  <si>
    <t>2 Order IDs appeared twice; the corresponding transaction details were different</t>
  </si>
  <si>
    <t>Reassigned the second occurrences to ORD-0351 and ORD-0352</t>
  </si>
  <si>
    <t>All 350 Order_ID values verified as unique</t>
  </si>
  <si>
    <t>Missing values</t>
  </si>
  <si>
    <t xml:space="preserve">	3 records had blank Customer_ID values</t>
  </si>
  <si>
    <t>Replaced blanks with Unknown to preserve the transaction records</t>
  </si>
  <si>
    <t>Verified 0 blank Customer_ID values remain</t>
  </si>
  <si>
    <t>3 records had blank Region values; available customer history did not provide a unique Region for all cases</t>
  </si>
  <si>
    <t>Verified 0 blank Region values remain</t>
  </si>
  <si>
    <t>Inconsistent capitalization</t>
  </si>
  <si>
    <t>Category values contained inconsistent capitalization, including uppercase variants</t>
  </si>
  <si>
    <t>Standardized category names to Accessories, Electronics, Furniture, and Office Supplies</t>
  </si>
  <si>
    <t>Verified exactly 4 standardized category values remain</t>
  </si>
  <si>
    <t>Data validation</t>
  </si>
  <si>
    <t>Sales values needed to be checked against Quantity, Unit Price, and Discount</t>
  </si>
  <si>
    <t>Checked all 350 records using Quantity × Unit_Price × (1 − Discount)</t>
  </si>
  <si>
    <t>350/350 records matched</t>
  </si>
  <si>
    <t>Product / Category</t>
  </si>
  <si>
    <t>Products needed to be checked for category consistency</t>
  </si>
  <si>
    <t>Compared Product against Category across all records</t>
  </si>
  <si>
    <t>350/350 records consistent</t>
  </si>
  <si>
    <t>Text fields</t>
  </si>
  <si>
    <t>Text fields needed to be checked for extra leading/trailing/hidden spaces</t>
  </si>
  <si>
    <t>Applied TRIM/CLEAN-based validation to Customer_ID, Region, Category, Product, Payment_Method, and Sales_Channel</t>
  </si>
  <si>
    <t>350/350 records clean</t>
  </si>
  <si>
    <t>Order_ID uniqueness needed to be confirmed after duplicate corrections</t>
  </si>
  <si>
    <t>Checked occurrence count for every Order_ID</t>
  </si>
  <si>
    <t>350/350 IDs unique</t>
  </si>
  <si>
    <t>PROJECT SUMMARY</t>
  </si>
  <si>
    <t>Retail Sales Performance Analysis is an Excel-based data analytics project designed to inspect, clean, analyze, and visualize retail transaction data for 2025. The project uses Excel Tables, formulas, PivotTables, charts, KPIs, and a dashboard to evaluate sales, profitability, order volume, regional performance, category performance, sales channels, and discount-related profitability patterns.</t>
  </si>
  <si>
    <t>TOOLS USED</t>
  </si>
  <si>
    <t>Microsoft Excel — Data Cleaning, Formulas, PivotTables, Charts, Dashboard</t>
  </si>
  <si>
    <t>KEY ANALYTICAL AREAS</t>
  </si>
  <si>
    <t>Sales Performance | Profitability | Regional Analysis | Category Analysis | Product Analysis | Monthly Trends | Sales Channels | Discount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</si>
</sst>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quot;₹&quot;\ #,##0.00"/>
  </numFmts>
  <fonts count="12">
    <font>
      <sz val="11"/>
      <name val="Carlito"/>
    </font>
    <font>
      <b/>
      <sz val="14"/>
      <color rgb="FFFFFFFF"/>
      <name val="Carlito"/>
    </font>
    <font>
      <b/>
      <sz val="11"/>
      <name val="Carlito"/>
    </font>
    <font>
      <b/>
      <sz val="11"/>
      <color rgb="FFFFFFFF"/>
      <name val="Carlito"/>
    </font>
    <font>
      <sz val="11"/>
      <name val="Carlito"/>
    </font>
    <font>
      <b/>
      <sz val="18"/>
      <name val="Carlito"/>
    </font>
    <font>
      <b/>
      <sz val="10"/>
      <name val="Carlito"/>
    </font>
    <font>
      <b/>
      <sz val="12"/>
      <name val="Carlito"/>
    </font>
    <font>
      <b/>
      <sz val="20"/>
      <color theme="4"/>
      <name val="Carlito"/>
    </font>
    <font>
      <sz val="11"/>
      <color theme="4"/>
      <name val="Carlito"/>
    </font>
    <font>
      <b/>
      <sz val="14"/>
      <color theme="4"/>
      <name val="Carlito"/>
    </font>
    <font>
      <b/>
      <sz val="18"/>
      <color theme="4"/>
      <name val="Carlito"/>
    </font>
  </fonts>
  <fills count="4">
    <fill>
      <patternFill patternType="none"/>
    </fill>
    <fill>
      <patternFill patternType="gray125"/>
    </fill>
    <fill>
      <patternFill patternType="solid">
        <fgColor rgb="FF1F4E79"/>
      </patternFill>
    </fill>
    <fill>
      <patternFill patternType="solid">
        <fgColor rgb="FFEAF2F8"/>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64">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2" borderId="0" xfId="0" applyFont="1" applyFill="1" applyAlignment="1">
      <alignment horizontal="center" wrapText="1"/>
    </xf>
    <xf numFmtId="0" fontId="3" fillId="2" borderId="0" xfId="0" applyFont="1" applyFill="1" applyAlignment="1">
      <alignment horizontal="center" vertical="center" wrapText="1"/>
    </xf>
    <xf numFmtId="164" fontId="0" fillId="0" borderId="0" xfId="0" applyNumberFormat="1"/>
    <xf numFmtId="165" fontId="0" fillId="0" borderId="0" xfId="0" applyNumberFormat="1"/>
    <xf numFmtId="9" fontId="0" fillId="0" borderId="0" xfId="0" applyNumberFormat="1"/>
    <xf numFmtId="10" fontId="0" fillId="0" borderId="0" xfId="0" applyNumberForma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1" fillId="2" borderId="0" xfId="0" applyFont="1" applyFill="1" applyAlignment="1">
      <alignment horizontal="center" vertical="center"/>
    </xf>
    <xf numFmtId="0" fontId="0" fillId="0" borderId="0" xfId="0"/>
    <xf numFmtId="0" fontId="2" fillId="3" borderId="0" xfId="0" applyFont="1" applyFill="1" applyAlignment="1">
      <alignment wrapText="1"/>
    </xf>
    <xf numFmtId="0" fontId="6" fillId="0" borderId="0" xfId="0" applyFont="1"/>
    <xf numFmtId="0" fontId="0" fillId="0" borderId="0" xfId="0" applyAlignment="1">
      <alignment vertical="center"/>
    </xf>
    <xf numFmtId="0" fontId="0" fillId="0" borderId="0" xfId="0" applyAlignment="1">
      <alignment horizontal="left" vertical="center" wrapText="1"/>
    </xf>
    <xf numFmtId="0" fontId="0" fillId="0" borderId="0" xfId="0" applyFill="1" applyBorder="1" applyAlignment="1">
      <alignment horizontal="left" vertical="center" wrapText="1"/>
    </xf>
    <xf numFmtId="0" fontId="7" fillId="0" borderId="1" xfId="0" applyFont="1" applyBorder="1" applyAlignment="1">
      <alignment horizontal="center" vertical="center"/>
    </xf>
    <xf numFmtId="0" fontId="0" fillId="0" borderId="1" xfId="0" applyBorder="1" applyAlignment="1">
      <alignment horizontal="center" vertical="center"/>
    </xf>
    <xf numFmtId="166" fontId="5"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0" fontId="7" fillId="0" borderId="1" xfId="0" applyFont="1" applyBorder="1" applyAlignment="1">
      <alignment horizontal="center"/>
    </xf>
    <xf numFmtId="0" fontId="0" fillId="0" borderId="1" xfId="0" applyBorder="1" applyAlignment="1">
      <alignment horizontal="center"/>
    </xf>
    <xf numFmtId="10" fontId="5" fillId="0" borderId="1" xfId="0" applyNumberFormat="1" applyFont="1" applyBorder="1" applyAlignment="1">
      <alignment horizontal="center"/>
    </xf>
    <xf numFmtId="0" fontId="5" fillId="0" borderId="1" xfId="0" applyFont="1" applyBorder="1" applyAlignment="1">
      <alignment horizontal="center"/>
    </xf>
    <xf numFmtId="0" fontId="8" fillId="0" borderId="1" xfId="0" applyFont="1" applyBorder="1" applyAlignment="1">
      <alignment vertical="center"/>
    </xf>
    <xf numFmtId="0" fontId="9" fillId="0" borderId="1" xfId="0" applyFont="1" applyBorder="1" applyAlignment="1">
      <alignment vertical="center"/>
    </xf>
    <xf numFmtId="0" fontId="10" fillId="0" borderId="1" xfId="0" applyFont="1" applyBorder="1" applyAlignment="1">
      <alignmen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0" fillId="0" borderId="5" xfId="0" applyFill="1" applyBorder="1" applyAlignment="1">
      <alignment horizontal="left" vertical="center" wrapText="1"/>
    </xf>
    <xf numFmtId="0" fontId="0" fillId="0" borderId="6" xfId="0" applyFill="1" applyBorder="1" applyAlignment="1">
      <alignment horizontal="left" vertical="center" wrapText="1"/>
    </xf>
    <xf numFmtId="0" fontId="0" fillId="0" borderId="7" xfId="0" applyFill="1" applyBorder="1" applyAlignment="1">
      <alignment horizontal="left" vertical="center" wrapText="1"/>
    </xf>
    <xf numFmtId="0" fontId="0" fillId="0" borderId="8" xfId="0" applyFill="1" applyBorder="1" applyAlignment="1">
      <alignment horizontal="left" vertical="center" wrapText="1"/>
    </xf>
    <xf numFmtId="0" fontId="0" fillId="0" borderId="9" xfId="0" applyFill="1" applyBorder="1" applyAlignment="1">
      <alignment horizontal="left" vertical="center" wrapText="1"/>
    </xf>
    <xf numFmtId="0" fontId="8" fillId="0" borderId="0" xfId="0" applyFont="1" applyAlignment="1">
      <alignment horizontal="center"/>
    </xf>
    <xf numFmtId="0" fontId="9" fillId="0" borderId="0" xfId="0" applyFont="1" applyAlignment="1">
      <alignment horizontal="center"/>
    </xf>
    <xf numFmtId="0" fontId="11" fillId="0" borderId="0" xfId="0" applyFont="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165" fontId="2" fillId="0" borderId="1" xfId="0" applyNumberFormat="1" applyFont="1" applyBorder="1" applyAlignment="1">
      <alignment horizontal="right"/>
    </xf>
    <xf numFmtId="0" fontId="2" fillId="0" borderId="1" xfId="0" applyFont="1" applyBorder="1" applyAlignment="1">
      <alignment horizontal="right"/>
    </xf>
    <xf numFmtId="166" fontId="2" fillId="0" borderId="1" xfId="0" applyNumberFormat="1" applyFont="1" applyBorder="1" applyAlignment="1">
      <alignment horizontal="right"/>
    </xf>
    <xf numFmtId="10" fontId="2" fillId="0" borderId="1" xfId="1" applyNumberFormat="1" applyFont="1" applyBorder="1" applyAlignment="1">
      <alignment horizontal="right"/>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7" fillId="0" borderId="0" xfId="0" applyFont="1"/>
    <xf numFmtId="0" fontId="0" fillId="0" borderId="0" xfId="0" applyAlignment="1">
      <alignment horizontal="left" vertical="top" wrapText="1"/>
    </xf>
  </cellXfs>
  <cellStyles count="2">
    <cellStyle name="Normal" xfId="0" builtinId="0"/>
    <cellStyle name="Percent" xfId="1" builtinId="5"/>
  </cellStyles>
  <dxfs count="13">
    <dxf>
      <fill>
        <patternFill patternType="solid">
          <bgColor rgb="FFFFF4CC"/>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patternType="solid">
          <bgColor rgb="FFFDE2E2"/>
        </patternFill>
      </fill>
    </dxf>
    <dxf>
      <font>
        <color rgb="FF9C0006"/>
      </font>
      <fill>
        <patternFill>
          <bgColor rgb="FFFFC7CE"/>
        </patternFill>
      </fill>
    </dxf>
    <dxf>
      <fill>
        <patternFill patternType="solid">
          <bgColor rgb="FFFFF4CC"/>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patternType="solid">
          <bgColor rgb="FFFDE2E2"/>
        </patternFill>
      </fill>
    </dxf>
    <dxf>
      <font>
        <color rgb="FF9C0006"/>
      </font>
      <fill>
        <patternFill>
          <bgColor rgb="FFFFC7CE"/>
        </patternFill>
      </fill>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Chart_Data!$B$1</c:f>
              <c:strCache>
                <c:ptCount val="1"/>
                <c:pt idx="0">
                  <c:v>Sales</c:v>
                </c:pt>
              </c:strCache>
            </c:strRef>
          </c:tx>
          <c:spPr>
            <a:ln w="28575" cap="rnd">
              <a:solidFill>
                <a:schemeClr val="accent1"/>
              </a:solidFill>
              <a:round/>
            </a:ln>
            <a:effectLst/>
          </c:spPr>
          <c:marker>
            <c:symbol val="none"/>
          </c:marker>
          <c:cat>
            <c:strRef>
              <c:f>Chart_Data!$A$2:$A$13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Chart_Data!$B$2:$B$13</c:f>
              <c:numCache>
                <c:formatCode>"₹"\ #,##0.00</c:formatCode>
                <c:ptCount val="12"/>
                <c:pt idx="0">
                  <c:v>751646</c:v>
                </c:pt>
                <c:pt idx="1">
                  <c:v>641929</c:v>
                </c:pt>
                <c:pt idx="2">
                  <c:v>793872</c:v>
                </c:pt>
                <c:pt idx="3">
                  <c:v>377306.5</c:v>
                </c:pt>
                <c:pt idx="4">
                  <c:v>569946</c:v>
                </c:pt>
                <c:pt idx="5">
                  <c:v>564767.5</c:v>
                </c:pt>
                <c:pt idx="6">
                  <c:v>372801</c:v>
                </c:pt>
                <c:pt idx="7">
                  <c:v>488322.5</c:v>
                </c:pt>
                <c:pt idx="8">
                  <c:v>253669</c:v>
                </c:pt>
                <c:pt idx="9">
                  <c:v>870920</c:v>
                </c:pt>
                <c:pt idx="10">
                  <c:v>571056.5</c:v>
                </c:pt>
                <c:pt idx="11">
                  <c:v>245825.5</c:v>
                </c:pt>
              </c:numCache>
            </c:numRef>
          </c:val>
          <c:smooth val="0"/>
          <c:extLst>
            <c:ext xmlns:c16="http://schemas.microsoft.com/office/drawing/2014/chart" uri="{C3380CC4-5D6E-409C-BE32-E72D297353CC}">
              <c16:uniqueId val="{00000000-76FE-4B73-865E-FB1A022C6719}"/>
            </c:ext>
          </c:extLst>
        </c:ser>
        <c:dLbls>
          <c:showLegendKey val="0"/>
          <c:showVal val="0"/>
          <c:showCatName val="0"/>
          <c:showSerName val="0"/>
          <c:showPercent val="0"/>
          <c:showBubbleSize val="0"/>
        </c:dLbls>
        <c:smooth val="0"/>
        <c:axId val="1713362623"/>
        <c:axId val="1679521455"/>
      </c:lineChart>
      <c:catAx>
        <c:axId val="17133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1455"/>
        <c:crosses val="autoZero"/>
        <c:auto val="1"/>
        <c:lblAlgn val="ctr"/>
        <c:lblOffset val="100"/>
        <c:noMultiLvlLbl val="0"/>
      </c:catAx>
      <c:valAx>
        <c:axId val="1679521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36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Chart_Data!$D$2:$D$5</c:f>
              <c:strCache>
                <c:ptCount val="4"/>
                <c:pt idx="0">
                  <c:v>Accessories</c:v>
                </c:pt>
                <c:pt idx="1">
                  <c:v>Electronics</c:v>
                </c:pt>
                <c:pt idx="2">
                  <c:v>Furniture</c:v>
                </c:pt>
                <c:pt idx="3">
                  <c:v>Office Supplies</c:v>
                </c:pt>
              </c:strCache>
            </c:strRef>
          </c:cat>
          <c:val>
            <c:numRef>
              <c:f>Chart_Data!$E$2:$E$5</c:f>
              <c:numCache>
                <c:formatCode>"₹"\ #,##0.00</c:formatCode>
                <c:ptCount val="4"/>
                <c:pt idx="0">
                  <c:v>352320</c:v>
                </c:pt>
                <c:pt idx="1">
                  <c:v>3848855</c:v>
                </c:pt>
                <c:pt idx="2">
                  <c:v>2139770</c:v>
                </c:pt>
                <c:pt idx="3">
                  <c:v>161116.5</c:v>
                </c:pt>
              </c:numCache>
            </c:numRef>
          </c:val>
          <c:extLst>
            <c:ext xmlns:c16="http://schemas.microsoft.com/office/drawing/2014/chart" uri="{C3380CC4-5D6E-409C-BE32-E72D297353CC}">
              <c16:uniqueId val="{00000000-97BE-48FC-91EE-DA7886F19DDE}"/>
            </c:ext>
          </c:extLst>
        </c:ser>
        <c:dLbls>
          <c:showLegendKey val="0"/>
          <c:showVal val="0"/>
          <c:showCatName val="0"/>
          <c:showSerName val="0"/>
          <c:showPercent val="0"/>
          <c:showBubbleSize val="0"/>
        </c:dLbls>
        <c:gapWidth val="182"/>
        <c:axId val="1718550655"/>
        <c:axId val="1679513295"/>
      </c:barChart>
      <c:catAx>
        <c:axId val="17185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3295"/>
        <c:crosses val="autoZero"/>
        <c:auto val="1"/>
        <c:lblAlgn val="ctr"/>
        <c:lblOffset val="100"/>
        <c:noMultiLvlLbl val="0"/>
      </c:catAx>
      <c:valAx>
        <c:axId val="16795132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5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Chart_Data!$K$1</c:f>
              <c:strCache>
                <c:ptCount val="1"/>
                <c:pt idx="0">
                  <c:v>Profit</c:v>
                </c:pt>
              </c:strCache>
            </c:strRef>
          </c:tx>
          <c:spPr>
            <a:solidFill>
              <a:schemeClr val="accent1"/>
            </a:solidFill>
            <a:ln>
              <a:noFill/>
            </a:ln>
            <a:effectLst/>
          </c:spPr>
          <c:invertIfNegative val="0"/>
          <c:cat>
            <c:strRef>
              <c:f>Chart_Data!$J$2:$J$5</c:f>
              <c:strCache>
                <c:ptCount val="4"/>
                <c:pt idx="0">
                  <c:v>Accessories</c:v>
                </c:pt>
                <c:pt idx="1">
                  <c:v>Electronics</c:v>
                </c:pt>
                <c:pt idx="2">
                  <c:v>Furniture</c:v>
                </c:pt>
                <c:pt idx="3">
                  <c:v>Office Supplies</c:v>
                </c:pt>
              </c:strCache>
            </c:strRef>
          </c:cat>
          <c:val>
            <c:numRef>
              <c:f>Chart_Data!$K$2:$K$5</c:f>
              <c:numCache>
                <c:formatCode>"₹"\ #,##0.00</c:formatCode>
                <c:ptCount val="4"/>
                <c:pt idx="0">
                  <c:v>43373.25</c:v>
                </c:pt>
                <c:pt idx="1">
                  <c:v>470476.66999999987</c:v>
                </c:pt>
                <c:pt idx="2">
                  <c:v>275807.17000000004</c:v>
                </c:pt>
                <c:pt idx="3">
                  <c:v>19583.999999999985</c:v>
                </c:pt>
              </c:numCache>
            </c:numRef>
          </c:val>
          <c:extLst>
            <c:ext xmlns:c16="http://schemas.microsoft.com/office/drawing/2014/chart" uri="{C3380CC4-5D6E-409C-BE32-E72D297353CC}">
              <c16:uniqueId val="{00000000-958C-45FA-9D5C-4ED213FD8CEC}"/>
            </c:ext>
          </c:extLst>
        </c:ser>
        <c:dLbls>
          <c:showLegendKey val="0"/>
          <c:showVal val="0"/>
          <c:showCatName val="0"/>
          <c:showSerName val="0"/>
          <c:showPercent val="0"/>
          <c:showBubbleSize val="0"/>
        </c:dLbls>
        <c:gapWidth val="182"/>
        <c:axId val="1591048383"/>
        <c:axId val="1348320495"/>
      </c:barChart>
      <c:catAx>
        <c:axId val="159104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320495"/>
        <c:crosses val="autoZero"/>
        <c:auto val="1"/>
        <c:lblAlgn val="ctr"/>
        <c:lblOffset val="100"/>
        <c:noMultiLvlLbl val="0"/>
      </c:catAx>
      <c:valAx>
        <c:axId val="13483204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04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Chart_Data!$H$1</c:f>
              <c:strCache>
                <c:ptCount val="1"/>
                <c:pt idx="0">
                  <c:v>Sales</c:v>
                </c:pt>
              </c:strCache>
            </c:strRef>
          </c:tx>
          <c:spPr>
            <a:solidFill>
              <a:schemeClr val="accent1"/>
            </a:solidFill>
            <a:ln>
              <a:noFill/>
            </a:ln>
            <a:effectLst/>
          </c:spPr>
          <c:invertIfNegative val="0"/>
          <c:cat>
            <c:strRef>
              <c:f>Chart_Data!$G$2:$G$3</c:f>
              <c:strCache>
                <c:ptCount val="2"/>
                <c:pt idx="0">
                  <c:v>Online</c:v>
                </c:pt>
                <c:pt idx="1">
                  <c:v>Retail Store</c:v>
                </c:pt>
              </c:strCache>
            </c:strRef>
          </c:cat>
          <c:val>
            <c:numRef>
              <c:f>Chart_Data!$H$2:$H$3</c:f>
              <c:numCache>
                <c:formatCode>"₹"\ #,##0.00</c:formatCode>
                <c:ptCount val="2"/>
                <c:pt idx="0">
                  <c:v>3485907.5</c:v>
                </c:pt>
                <c:pt idx="1">
                  <c:v>3016154</c:v>
                </c:pt>
              </c:numCache>
            </c:numRef>
          </c:val>
          <c:extLst>
            <c:ext xmlns:c16="http://schemas.microsoft.com/office/drawing/2014/chart" uri="{C3380CC4-5D6E-409C-BE32-E72D297353CC}">
              <c16:uniqueId val="{00000000-57B1-44B1-9199-E7F926F2A454}"/>
            </c:ext>
          </c:extLst>
        </c:ser>
        <c:dLbls>
          <c:showLegendKey val="0"/>
          <c:showVal val="0"/>
          <c:showCatName val="0"/>
          <c:showSerName val="0"/>
          <c:showPercent val="0"/>
          <c:showBubbleSize val="0"/>
        </c:dLbls>
        <c:gapWidth val="219"/>
        <c:overlap val="-27"/>
        <c:axId val="1493060879"/>
        <c:axId val="1348273935"/>
      </c:barChart>
      <c:catAx>
        <c:axId val="14930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73935"/>
        <c:crosses val="autoZero"/>
        <c:auto val="1"/>
        <c:lblAlgn val="ctr"/>
        <c:lblOffset val="100"/>
        <c:noMultiLvlLbl val="0"/>
      </c:catAx>
      <c:valAx>
        <c:axId val="134827393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0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Chart_Data!$Q$1</c:f>
              <c:strCache>
                <c:ptCount val="1"/>
                <c:pt idx="0">
                  <c:v>Sales</c:v>
                </c:pt>
              </c:strCache>
            </c:strRef>
          </c:tx>
          <c:spPr>
            <a:solidFill>
              <a:schemeClr val="accent1"/>
            </a:solidFill>
            <a:ln>
              <a:noFill/>
            </a:ln>
            <a:effectLst/>
          </c:spPr>
          <c:invertIfNegative val="0"/>
          <c:cat>
            <c:strRef>
              <c:f>Chart_Data!$P$2:$P$6</c:f>
              <c:strCache>
                <c:ptCount val="5"/>
                <c:pt idx="0">
                  <c:v>East</c:v>
                </c:pt>
                <c:pt idx="1">
                  <c:v>North</c:v>
                </c:pt>
                <c:pt idx="2">
                  <c:v>South</c:v>
                </c:pt>
                <c:pt idx="3">
                  <c:v>Unknown</c:v>
                </c:pt>
                <c:pt idx="4">
                  <c:v>West</c:v>
                </c:pt>
              </c:strCache>
            </c:strRef>
          </c:cat>
          <c:val>
            <c:numRef>
              <c:f>Chart_Data!$Q$2:$Q$6</c:f>
              <c:numCache>
                <c:formatCode>"₹"\ #,##0.00</c:formatCode>
                <c:ptCount val="5"/>
                <c:pt idx="0">
                  <c:v>1241286.5</c:v>
                </c:pt>
                <c:pt idx="1">
                  <c:v>2084611.5</c:v>
                </c:pt>
                <c:pt idx="2">
                  <c:v>1194332.5</c:v>
                </c:pt>
                <c:pt idx="3">
                  <c:v>55676</c:v>
                </c:pt>
                <c:pt idx="4">
                  <c:v>1926155</c:v>
                </c:pt>
              </c:numCache>
            </c:numRef>
          </c:val>
          <c:extLst>
            <c:ext xmlns:c16="http://schemas.microsoft.com/office/drawing/2014/chart" uri="{C3380CC4-5D6E-409C-BE32-E72D297353CC}">
              <c16:uniqueId val="{00000000-DE7D-4005-9A08-BFC92C862E62}"/>
            </c:ext>
          </c:extLst>
        </c:ser>
        <c:dLbls>
          <c:showLegendKey val="0"/>
          <c:showVal val="0"/>
          <c:showCatName val="0"/>
          <c:showSerName val="0"/>
          <c:showPercent val="0"/>
          <c:showBubbleSize val="0"/>
        </c:dLbls>
        <c:gapWidth val="182"/>
        <c:axId val="1668201407"/>
        <c:axId val="1592812623"/>
      </c:barChart>
      <c:catAx>
        <c:axId val="166820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12623"/>
        <c:crosses val="autoZero"/>
        <c:auto val="1"/>
        <c:lblAlgn val="ctr"/>
        <c:lblOffset val="100"/>
        <c:noMultiLvlLbl val="0"/>
      </c:catAx>
      <c:valAx>
        <c:axId val="15928126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01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 vs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Chart_Data!$N$1</c:f>
              <c:strCache>
                <c:ptCount val="1"/>
                <c:pt idx="0">
                  <c:v>Profit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Chart_Data!$M$2:$M$6</c:f>
              <c:numCache>
                <c:formatCode>0%</c:formatCode>
                <c:ptCount val="5"/>
                <c:pt idx="0">
                  <c:v>0</c:v>
                </c:pt>
                <c:pt idx="1">
                  <c:v>0.05</c:v>
                </c:pt>
                <c:pt idx="2">
                  <c:v>0.1</c:v>
                </c:pt>
                <c:pt idx="3">
                  <c:v>0.15</c:v>
                </c:pt>
                <c:pt idx="4">
                  <c:v>0.2</c:v>
                </c:pt>
              </c:numCache>
            </c:numRef>
          </c:xVal>
          <c:yVal>
            <c:numRef>
              <c:f>Chart_Data!$N$2:$N$6</c:f>
              <c:numCache>
                <c:formatCode>0.00%</c:formatCode>
                <c:ptCount val="5"/>
                <c:pt idx="0">
                  <c:v>0.16902049862382387</c:v>
                </c:pt>
                <c:pt idx="1">
                  <c:v>0.12921839993536616</c:v>
                </c:pt>
                <c:pt idx="2">
                  <c:v>0.14587201592898885</c:v>
                </c:pt>
                <c:pt idx="3">
                  <c:v>0.10404709558305006</c:v>
                </c:pt>
                <c:pt idx="4">
                  <c:v>7.5713734187612944E-2</c:v>
                </c:pt>
              </c:numCache>
            </c:numRef>
          </c:yVal>
          <c:smooth val="0"/>
          <c:extLst>
            <c:ext xmlns:c16="http://schemas.microsoft.com/office/drawing/2014/chart" uri="{C3380CC4-5D6E-409C-BE32-E72D297353CC}">
              <c16:uniqueId val="{00000000-5E3A-48A8-9E2F-63C17B784248}"/>
            </c:ext>
          </c:extLst>
        </c:ser>
        <c:dLbls>
          <c:showLegendKey val="0"/>
          <c:showVal val="0"/>
          <c:showCatName val="0"/>
          <c:showSerName val="0"/>
          <c:showPercent val="0"/>
          <c:showBubbleSize val="0"/>
        </c:dLbls>
        <c:axId val="1591685007"/>
        <c:axId val="1348281135"/>
      </c:scatterChart>
      <c:valAx>
        <c:axId val="1591685007"/>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81135"/>
        <c:crosses val="autoZero"/>
        <c:crossBetween val="midCat"/>
      </c:valAx>
      <c:valAx>
        <c:axId val="1348281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6850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Chart_Data!$B$1</c:f>
              <c:strCache>
                <c:ptCount val="1"/>
                <c:pt idx="0">
                  <c:v>Sales</c:v>
                </c:pt>
              </c:strCache>
            </c:strRef>
          </c:tx>
          <c:spPr>
            <a:ln w="28575" cap="rnd">
              <a:solidFill>
                <a:schemeClr val="accent1"/>
              </a:solidFill>
              <a:round/>
            </a:ln>
            <a:effectLst/>
          </c:spPr>
          <c:marker>
            <c:symbol val="none"/>
          </c:marker>
          <c:cat>
            <c:strRef>
              <c:f>Chart_Data!$A$2:$A$13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Chart_Data!$B$2:$B$13</c:f>
              <c:numCache>
                <c:formatCode>"₹"\ #,##0.00</c:formatCode>
                <c:ptCount val="12"/>
                <c:pt idx="0">
                  <c:v>751646</c:v>
                </c:pt>
                <c:pt idx="1">
                  <c:v>641929</c:v>
                </c:pt>
                <c:pt idx="2">
                  <c:v>793872</c:v>
                </c:pt>
                <c:pt idx="3">
                  <c:v>377306.5</c:v>
                </c:pt>
                <c:pt idx="4">
                  <c:v>569946</c:v>
                </c:pt>
                <c:pt idx="5">
                  <c:v>564767.5</c:v>
                </c:pt>
                <c:pt idx="6">
                  <c:v>372801</c:v>
                </c:pt>
                <c:pt idx="7">
                  <c:v>488322.5</c:v>
                </c:pt>
                <c:pt idx="8">
                  <c:v>253669</c:v>
                </c:pt>
                <c:pt idx="9">
                  <c:v>870920</c:v>
                </c:pt>
                <c:pt idx="10">
                  <c:v>571056.5</c:v>
                </c:pt>
                <c:pt idx="11">
                  <c:v>245825.5</c:v>
                </c:pt>
              </c:numCache>
            </c:numRef>
          </c:val>
          <c:smooth val="0"/>
          <c:extLst>
            <c:ext xmlns:c16="http://schemas.microsoft.com/office/drawing/2014/chart" uri="{C3380CC4-5D6E-409C-BE32-E72D297353CC}">
              <c16:uniqueId val="{00000000-3E14-401B-8156-6DF46D4C7C7A}"/>
            </c:ext>
          </c:extLst>
        </c:ser>
        <c:dLbls>
          <c:showLegendKey val="0"/>
          <c:showVal val="0"/>
          <c:showCatName val="0"/>
          <c:showSerName val="0"/>
          <c:showPercent val="0"/>
          <c:showBubbleSize val="0"/>
        </c:dLbls>
        <c:smooth val="0"/>
        <c:axId val="1713362623"/>
        <c:axId val="1679521455"/>
      </c:lineChart>
      <c:catAx>
        <c:axId val="171336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1455"/>
        <c:crosses val="autoZero"/>
        <c:auto val="1"/>
        <c:lblAlgn val="ctr"/>
        <c:lblOffset val="100"/>
        <c:noMultiLvlLbl val="0"/>
      </c:catAx>
      <c:valAx>
        <c:axId val="1679521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36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Chart_Data!$D$2:$D$5</c:f>
              <c:strCache>
                <c:ptCount val="4"/>
                <c:pt idx="0">
                  <c:v>Accessories</c:v>
                </c:pt>
                <c:pt idx="1">
                  <c:v>Electronics</c:v>
                </c:pt>
                <c:pt idx="2">
                  <c:v>Furniture</c:v>
                </c:pt>
                <c:pt idx="3">
                  <c:v>Office Supplies</c:v>
                </c:pt>
              </c:strCache>
            </c:strRef>
          </c:cat>
          <c:val>
            <c:numRef>
              <c:f>Chart_Data!$E$2:$E$5</c:f>
              <c:numCache>
                <c:formatCode>"₹"\ #,##0.00</c:formatCode>
                <c:ptCount val="4"/>
                <c:pt idx="0">
                  <c:v>352320</c:v>
                </c:pt>
                <c:pt idx="1">
                  <c:v>3848855</c:v>
                </c:pt>
                <c:pt idx="2">
                  <c:v>2139770</c:v>
                </c:pt>
                <c:pt idx="3">
                  <c:v>161116.5</c:v>
                </c:pt>
              </c:numCache>
            </c:numRef>
          </c:val>
          <c:extLst>
            <c:ext xmlns:c16="http://schemas.microsoft.com/office/drawing/2014/chart" uri="{C3380CC4-5D6E-409C-BE32-E72D297353CC}">
              <c16:uniqueId val="{00000000-3A24-4DE9-9D2A-915B965638EE}"/>
            </c:ext>
          </c:extLst>
        </c:ser>
        <c:dLbls>
          <c:showLegendKey val="0"/>
          <c:showVal val="0"/>
          <c:showCatName val="0"/>
          <c:showSerName val="0"/>
          <c:showPercent val="0"/>
          <c:showBubbleSize val="0"/>
        </c:dLbls>
        <c:gapWidth val="182"/>
        <c:axId val="1718550655"/>
        <c:axId val="1679513295"/>
      </c:barChart>
      <c:catAx>
        <c:axId val="171855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3295"/>
        <c:crosses val="autoZero"/>
        <c:auto val="1"/>
        <c:lblAlgn val="ctr"/>
        <c:lblOffset val="100"/>
        <c:noMultiLvlLbl val="0"/>
      </c:catAx>
      <c:valAx>
        <c:axId val="16795132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5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Chart_Data!$H$1</c:f>
              <c:strCache>
                <c:ptCount val="1"/>
                <c:pt idx="0">
                  <c:v>Sales</c:v>
                </c:pt>
              </c:strCache>
            </c:strRef>
          </c:tx>
          <c:spPr>
            <a:solidFill>
              <a:schemeClr val="accent1"/>
            </a:solidFill>
            <a:ln>
              <a:noFill/>
            </a:ln>
            <a:effectLst/>
          </c:spPr>
          <c:invertIfNegative val="0"/>
          <c:cat>
            <c:strRef>
              <c:f>Chart_Data!$G$2:$G$3</c:f>
              <c:strCache>
                <c:ptCount val="2"/>
                <c:pt idx="0">
                  <c:v>Online</c:v>
                </c:pt>
                <c:pt idx="1">
                  <c:v>Retail Store</c:v>
                </c:pt>
              </c:strCache>
            </c:strRef>
          </c:cat>
          <c:val>
            <c:numRef>
              <c:f>Chart_Data!$H$2:$H$3</c:f>
              <c:numCache>
                <c:formatCode>"₹"\ #,##0.00</c:formatCode>
                <c:ptCount val="2"/>
                <c:pt idx="0">
                  <c:v>3485907.5</c:v>
                </c:pt>
                <c:pt idx="1">
                  <c:v>3016154</c:v>
                </c:pt>
              </c:numCache>
            </c:numRef>
          </c:val>
          <c:extLst>
            <c:ext xmlns:c16="http://schemas.microsoft.com/office/drawing/2014/chart" uri="{C3380CC4-5D6E-409C-BE32-E72D297353CC}">
              <c16:uniqueId val="{00000000-A675-4295-813A-9C8D5D09B94A}"/>
            </c:ext>
          </c:extLst>
        </c:ser>
        <c:dLbls>
          <c:showLegendKey val="0"/>
          <c:showVal val="0"/>
          <c:showCatName val="0"/>
          <c:showSerName val="0"/>
          <c:showPercent val="0"/>
          <c:showBubbleSize val="0"/>
        </c:dLbls>
        <c:gapWidth val="219"/>
        <c:overlap val="-27"/>
        <c:axId val="1493060879"/>
        <c:axId val="1348273935"/>
      </c:barChart>
      <c:catAx>
        <c:axId val="14930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73935"/>
        <c:crosses val="autoZero"/>
        <c:auto val="1"/>
        <c:lblAlgn val="ctr"/>
        <c:lblOffset val="100"/>
        <c:noMultiLvlLbl val="0"/>
      </c:catAx>
      <c:valAx>
        <c:axId val="134827393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0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Chart_Data!$K$1</c:f>
              <c:strCache>
                <c:ptCount val="1"/>
                <c:pt idx="0">
                  <c:v>Profit</c:v>
                </c:pt>
              </c:strCache>
            </c:strRef>
          </c:tx>
          <c:spPr>
            <a:solidFill>
              <a:schemeClr val="accent1"/>
            </a:solidFill>
            <a:ln>
              <a:noFill/>
            </a:ln>
            <a:effectLst/>
          </c:spPr>
          <c:invertIfNegative val="0"/>
          <c:cat>
            <c:strRef>
              <c:f>Chart_Data!$J$2:$J$5</c:f>
              <c:strCache>
                <c:ptCount val="4"/>
                <c:pt idx="0">
                  <c:v>Accessories</c:v>
                </c:pt>
                <c:pt idx="1">
                  <c:v>Electronics</c:v>
                </c:pt>
                <c:pt idx="2">
                  <c:v>Furniture</c:v>
                </c:pt>
                <c:pt idx="3">
                  <c:v>Office Supplies</c:v>
                </c:pt>
              </c:strCache>
            </c:strRef>
          </c:cat>
          <c:val>
            <c:numRef>
              <c:f>Chart_Data!$K$2:$K$5</c:f>
              <c:numCache>
                <c:formatCode>"₹"\ #,##0.00</c:formatCode>
                <c:ptCount val="4"/>
                <c:pt idx="0">
                  <c:v>43373.25</c:v>
                </c:pt>
                <c:pt idx="1">
                  <c:v>470476.66999999987</c:v>
                </c:pt>
                <c:pt idx="2">
                  <c:v>275807.17000000004</c:v>
                </c:pt>
                <c:pt idx="3">
                  <c:v>19583.999999999985</c:v>
                </c:pt>
              </c:numCache>
            </c:numRef>
          </c:val>
          <c:extLst>
            <c:ext xmlns:c16="http://schemas.microsoft.com/office/drawing/2014/chart" uri="{C3380CC4-5D6E-409C-BE32-E72D297353CC}">
              <c16:uniqueId val="{00000000-0B19-46F1-A3DE-9F49713DD130}"/>
            </c:ext>
          </c:extLst>
        </c:ser>
        <c:dLbls>
          <c:showLegendKey val="0"/>
          <c:showVal val="0"/>
          <c:showCatName val="0"/>
          <c:showSerName val="0"/>
          <c:showPercent val="0"/>
          <c:showBubbleSize val="0"/>
        </c:dLbls>
        <c:gapWidth val="182"/>
        <c:axId val="1591048383"/>
        <c:axId val="1348320495"/>
      </c:barChart>
      <c:catAx>
        <c:axId val="159104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320495"/>
        <c:crosses val="autoZero"/>
        <c:auto val="1"/>
        <c:lblAlgn val="ctr"/>
        <c:lblOffset val="100"/>
        <c:noMultiLvlLbl val="0"/>
      </c:catAx>
      <c:valAx>
        <c:axId val="13483204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04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 vs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Chart_Data!$N$1</c:f>
              <c:strCache>
                <c:ptCount val="1"/>
                <c:pt idx="0">
                  <c:v>Profit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Chart_Data!$M$2:$M$6</c:f>
              <c:numCache>
                <c:formatCode>0%</c:formatCode>
                <c:ptCount val="5"/>
                <c:pt idx="0">
                  <c:v>0</c:v>
                </c:pt>
                <c:pt idx="1">
                  <c:v>0.05</c:v>
                </c:pt>
                <c:pt idx="2">
                  <c:v>0.1</c:v>
                </c:pt>
                <c:pt idx="3">
                  <c:v>0.15</c:v>
                </c:pt>
                <c:pt idx="4">
                  <c:v>0.2</c:v>
                </c:pt>
              </c:numCache>
            </c:numRef>
          </c:xVal>
          <c:yVal>
            <c:numRef>
              <c:f>Chart_Data!$N$2:$N$6</c:f>
              <c:numCache>
                <c:formatCode>0.00%</c:formatCode>
                <c:ptCount val="5"/>
                <c:pt idx="0">
                  <c:v>0.16902049862382387</c:v>
                </c:pt>
                <c:pt idx="1">
                  <c:v>0.12921839993536616</c:v>
                </c:pt>
                <c:pt idx="2">
                  <c:v>0.14587201592898885</c:v>
                </c:pt>
                <c:pt idx="3">
                  <c:v>0.10404709558305006</c:v>
                </c:pt>
                <c:pt idx="4">
                  <c:v>7.5713734187612944E-2</c:v>
                </c:pt>
              </c:numCache>
            </c:numRef>
          </c:yVal>
          <c:smooth val="0"/>
          <c:extLst>
            <c:ext xmlns:c16="http://schemas.microsoft.com/office/drawing/2014/chart" uri="{C3380CC4-5D6E-409C-BE32-E72D297353CC}">
              <c16:uniqueId val="{00000000-D523-48C3-AE3F-075003B2B922}"/>
            </c:ext>
          </c:extLst>
        </c:ser>
        <c:dLbls>
          <c:showLegendKey val="0"/>
          <c:showVal val="0"/>
          <c:showCatName val="0"/>
          <c:showSerName val="0"/>
          <c:showPercent val="0"/>
          <c:showBubbleSize val="0"/>
        </c:dLbls>
        <c:axId val="1591685007"/>
        <c:axId val="1348281135"/>
      </c:scatterChart>
      <c:valAx>
        <c:axId val="1591685007"/>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81135"/>
        <c:crosses val="autoZero"/>
        <c:crossBetween val="midCat"/>
      </c:valAx>
      <c:valAx>
        <c:axId val="1348281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6850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Chart_Data!$Q$1</c:f>
              <c:strCache>
                <c:ptCount val="1"/>
                <c:pt idx="0">
                  <c:v>Sales</c:v>
                </c:pt>
              </c:strCache>
            </c:strRef>
          </c:tx>
          <c:spPr>
            <a:solidFill>
              <a:schemeClr val="accent1"/>
            </a:solidFill>
            <a:ln>
              <a:noFill/>
            </a:ln>
            <a:effectLst/>
          </c:spPr>
          <c:invertIfNegative val="0"/>
          <c:cat>
            <c:strRef>
              <c:f>Chart_Data!$P$2:$P$6</c:f>
              <c:strCache>
                <c:ptCount val="5"/>
                <c:pt idx="0">
                  <c:v>East</c:v>
                </c:pt>
                <c:pt idx="1">
                  <c:v>North</c:v>
                </c:pt>
                <c:pt idx="2">
                  <c:v>South</c:v>
                </c:pt>
                <c:pt idx="3">
                  <c:v>Unknown</c:v>
                </c:pt>
                <c:pt idx="4">
                  <c:v>West</c:v>
                </c:pt>
              </c:strCache>
            </c:strRef>
          </c:cat>
          <c:val>
            <c:numRef>
              <c:f>Chart_Data!$Q$2:$Q$6</c:f>
              <c:numCache>
                <c:formatCode>"₹"\ #,##0.00</c:formatCode>
                <c:ptCount val="5"/>
                <c:pt idx="0">
                  <c:v>1241286.5</c:v>
                </c:pt>
                <c:pt idx="1">
                  <c:v>2084611.5</c:v>
                </c:pt>
                <c:pt idx="2">
                  <c:v>1194332.5</c:v>
                </c:pt>
                <c:pt idx="3">
                  <c:v>55676</c:v>
                </c:pt>
                <c:pt idx="4">
                  <c:v>1926155</c:v>
                </c:pt>
              </c:numCache>
            </c:numRef>
          </c:val>
          <c:extLst>
            <c:ext xmlns:c16="http://schemas.microsoft.com/office/drawing/2014/chart" uri="{C3380CC4-5D6E-409C-BE32-E72D297353CC}">
              <c16:uniqueId val="{00000000-3D2F-4ED9-8708-F1E9797875E7}"/>
            </c:ext>
          </c:extLst>
        </c:ser>
        <c:dLbls>
          <c:showLegendKey val="0"/>
          <c:showVal val="0"/>
          <c:showCatName val="0"/>
          <c:showSerName val="0"/>
          <c:showPercent val="0"/>
          <c:showBubbleSize val="0"/>
        </c:dLbls>
        <c:gapWidth val="182"/>
        <c:axId val="1668201407"/>
        <c:axId val="1592812623"/>
      </c:barChart>
      <c:catAx>
        <c:axId val="166820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12623"/>
        <c:crosses val="autoZero"/>
        <c:auto val="1"/>
        <c:lblAlgn val="ctr"/>
        <c:lblOffset val="100"/>
        <c:noMultiLvlLbl val="0"/>
      </c:catAx>
      <c:valAx>
        <c:axId val="15928126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01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57149</xdr:colOff>
      <xdr:row>11</xdr:row>
      <xdr:rowOff>19050</xdr:rowOff>
    </xdr:from>
    <xdr:to>
      <xdr:col>6</xdr:col>
      <xdr:colOff>309562</xdr:colOff>
      <xdr:row>27</xdr:row>
      <xdr:rowOff>2722</xdr:rowOff>
    </xdr:to>
    <xdr:graphicFrame macro="">
      <xdr:nvGraphicFramePr>
        <xdr:cNvPr id="2" name="Chart 1">
          <a:extLst>
            <a:ext uri="{FF2B5EF4-FFF2-40B4-BE49-F238E27FC236}">
              <a16:creationId xmlns:a16="http://schemas.microsoft.com/office/drawing/2014/main" id="{26B12530-3BEE-4E2B-9633-164701971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327252</xdr:colOff>
      <xdr:row>11</xdr:row>
      <xdr:rowOff>7937</xdr:rowOff>
    </xdr:from>
    <xdr:to>
      <xdr:col>14</xdr:col>
      <xdr:colOff>508000</xdr:colOff>
      <xdr:row>26</xdr:row>
      <xdr:rowOff>161969</xdr:rowOff>
    </xdr:to>
    <xdr:graphicFrame macro="">
      <xdr:nvGraphicFramePr>
        <xdr:cNvPr id="3" name="Chart 2">
          <a:extLst>
            <a:ext uri="{FF2B5EF4-FFF2-40B4-BE49-F238E27FC236}">
              <a16:creationId xmlns:a16="http://schemas.microsoft.com/office/drawing/2014/main" id="{51013413-6999-43F2-BD6B-69A8C4067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6</xdr:col>
      <xdr:colOff>608445</xdr:colOff>
      <xdr:row>44</xdr:row>
      <xdr:rowOff>78083</xdr:rowOff>
    </xdr:to>
    <xdr:graphicFrame macro="">
      <xdr:nvGraphicFramePr>
        <xdr:cNvPr id="4" name="Chart 3">
          <a:extLst>
            <a:ext uri="{FF2B5EF4-FFF2-40B4-BE49-F238E27FC236}">
              <a16:creationId xmlns:a16="http://schemas.microsoft.com/office/drawing/2014/main" id="{81D25FE3-EF5B-4551-ACF7-A4639BE9A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404813</xdr:colOff>
      <xdr:row>28</xdr:row>
      <xdr:rowOff>166687</xdr:rowOff>
    </xdr:from>
    <xdr:to>
      <xdr:col>14</xdr:col>
      <xdr:colOff>346508</xdr:colOff>
      <xdr:row>44</xdr:row>
      <xdr:rowOff>73005</xdr:rowOff>
    </xdr:to>
    <xdr:graphicFrame macro="">
      <xdr:nvGraphicFramePr>
        <xdr:cNvPr id="5" name="Chart 4">
          <a:extLst>
            <a:ext uri="{FF2B5EF4-FFF2-40B4-BE49-F238E27FC236}">
              <a16:creationId xmlns:a16="http://schemas.microsoft.com/office/drawing/2014/main" id="{96F6DA10-34CB-44B5-96D0-07D591237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47</xdr:row>
      <xdr:rowOff>0</xdr:rowOff>
    </xdr:from>
    <xdr:to>
      <xdr:col>7</xdr:col>
      <xdr:colOff>26670</xdr:colOff>
      <xdr:row>62</xdr:row>
      <xdr:rowOff>132533</xdr:rowOff>
    </xdr:to>
    <xdr:graphicFrame macro="">
      <xdr:nvGraphicFramePr>
        <xdr:cNvPr id="6" name="Chart 5">
          <a:extLst>
            <a:ext uri="{FF2B5EF4-FFF2-40B4-BE49-F238E27FC236}">
              <a16:creationId xmlns:a16="http://schemas.microsoft.com/office/drawing/2014/main" id="{730DCD65-7A4D-4293-9108-EC59600EF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412749</xdr:colOff>
      <xdr:row>47</xdr:row>
      <xdr:rowOff>0</xdr:rowOff>
    </xdr:from>
    <xdr:to>
      <xdr:col>14</xdr:col>
      <xdr:colOff>47624</xdr:colOff>
      <xdr:row>62</xdr:row>
      <xdr:rowOff>123825</xdr:rowOff>
    </xdr:to>
    <xdr:graphicFrame macro="">
      <xdr:nvGraphicFramePr>
        <xdr:cNvPr id="7" name="Chart 6">
          <a:extLst>
            <a:ext uri="{FF2B5EF4-FFF2-40B4-BE49-F238E27FC236}">
              <a16:creationId xmlns:a16="http://schemas.microsoft.com/office/drawing/2014/main" id="{76FBBE66-122F-4A86-997E-BC6162074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xdr:row>
      <xdr:rowOff>30480</xdr:rowOff>
    </xdr:from>
    <xdr:to>
      <xdr:col>7</xdr:col>
      <xdr:colOff>30480</xdr:colOff>
      <xdr:row>16</xdr:row>
      <xdr:rowOff>144780</xdr:rowOff>
    </xdr:to>
    <xdr:graphicFrame macro="">
      <xdr:nvGraphicFramePr>
        <xdr:cNvPr id="5" name="Chart 4">
          <a:extLst>
            <a:ext uri="{FF2B5EF4-FFF2-40B4-BE49-F238E27FC236}">
              <a16:creationId xmlns:a16="http://schemas.microsoft.com/office/drawing/2014/main" id="{56976913-58D1-4283-B95F-33FF684B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360861</xdr:colOff>
      <xdr:row>1</xdr:row>
      <xdr:rowOff>29392</xdr:rowOff>
    </xdr:from>
    <xdr:to>
      <xdr:col>14</xdr:col>
      <xdr:colOff>500742</xdr:colOff>
      <xdr:row>16</xdr:row>
      <xdr:rowOff>142602</xdr:rowOff>
    </xdr:to>
    <xdr:graphicFrame macro="">
      <xdr:nvGraphicFramePr>
        <xdr:cNvPr id="6" name="Chart 5">
          <a:extLst>
            <a:ext uri="{FF2B5EF4-FFF2-40B4-BE49-F238E27FC236}">
              <a16:creationId xmlns:a16="http://schemas.microsoft.com/office/drawing/2014/main" id="{6D195713-60B9-BE8A-5CC9-F837C8B29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134697</xdr:colOff>
      <xdr:row>19</xdr:row>
      <xdr:rowOff>36945</xdr:rowOff>
    </xdr:from>
    <xdr:to>
      <xdr:col>7</xdr:col>
      <xdr:colOff>19242</xdr:colOff>
      <xdr:row>34</xdr:row>
      <xdr:rowOff>124691</xdr:rowOff>
    </xdr:to>
    <xdr:graphicFrame macro="">
      <xdr:nvGraphicFramePr>
        <xdr:cNvPr id="2" name="Chart 1">
          <a:extLst>
            <a:ext uri="{FF2B5EF4-FFF2-40B4-BE49-F238E27FC236}">
              <a16:creationId xmlns:a16="http://schemas.microsoft.com/office/drawing/2014/main" id="{07F234A4-E15E-594A-C609-7FD8C859C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390787</xdr:colOff>
      <xdr:row>19</xdr:row>
      <xdr:rowOff>22323</xdr:rowOff>
    </xdr:from>
    <xdr:to>
      <xdr:col>14</xdr:col>
      <xdr:colOff>381000</xdr:colOff>
      <xdr:row>34</xdr:row>
      <xdr:rowOff>107209</xdr:rowOff>
    </xdr:to>
    <xdr:graphicFrame macro="">
      <xdr:nvGraphicFramePr>
        <xdr:cNvPr id="3" name="Chart 2">
          <a:extLst>
            <a:ext uri="{FF2B5EF4-FFF2-40B4-BE49-F238E27FC236}">
              <a16:creationId xmlns:a16="http://schemas.microsoft.com/office/drawing/2014/main" id="{178A24CA-F7B5-955E-396B-561241AA1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130629</xdr:colOff>
      <xdr:row>37</xdr:row>
      <xdr:rowOff>43543</xdr:rowOff>
    </xdr:from>
    <xdr:to>
      <xdr:col>6</xdr:col>
      <xdr:colOff>653143</xdr:colOff>
      <xdr:row>53</xdr:row>
      <xdr:rowOff>0</xdr:rowOff>
    </xdr:to>
    <xdr:graphicFrame macro="">
      <xdr:nvGraphicFramePr>
        <xdr:cNvPr id="4" name="Chart 3">
          <a:extLst>
            <a:ext uri="{FF2B5EF4-FFF2-40B4-BE49-F238E27FC236}">
              <a16:creationId xmlns:a16="http://schemas.microsoft.com/office/drawing/2014/main" id="{0D907F0F-68D9-9852-E262-5F47A9D89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468086</xdr:colOff>
      <xdr:row>37</xdr:row>
      <xdr:rowOff>30480</xdr:rowOff>
    </xdr:from>
    <xdr:to>
      <xdr:col>14</xdr:col>
      <xdr:colOff>437606</xdr:colOff>
      <xdr:row>52</xdr:row>
      <xdr:rowOff>169817</xdr:rowOff>
    </xdr:to>
    <xdr:graphicFrame macro="">
      <xdr:nvGraphicFramePr>
        <xdr:cNvPr id="7" name="Chart 6">
          <a:extLst>
            <a:ext uri="{FF2B5EF4-FFF2-40B4-BE49-F238E27FC236}">
              <a16:creationId xmlns:a16="http://schemas.microsoft.com/office/drawing/2014/main" id="{68E6EACB-DF65-10BE-C31F-ECB2EF9BC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6289.873112499998" createdVersion="8" refreshedVersion="8" minRefreshableVersion="3" recordCount="350" xr:uid="{365E42F2-2F0F-4022-ABCD-4734D6DC3194}">
  <cacheSource type="worksheet">
    <worksheetSource name="SalesData"/>
  </cacheSource>
  <cacheFields count="15">
    <cacheField name="Order_ID" numFmtId="0">
      <sharedItems/>
    </cacheField>
    <cacheField name="Order_Date" numFmtId="164">
      <sharedItems containsSemiMixedTypes="0" containsNonDate="0" containsDate="1" containsString="0" minDate="2025-01-04T00:00:00" maxDate="2026-01-01T00:00:00" count="230">
        <d v="2025-11-24T00:00:00"/>
        <d v="2025-10-30T00:00:00"/>
        <d v="2025-11-29T00:00:00"/>
        <d v="2025-12-24T00:00:00"/>
        <d v="2025-07-03T00:00:00"/>
        <d v="2025-10-10T00:00:00"/>
        <d v="2025-02-21T00:00:00"/>
        <d v="2025-11-08T00:00:00"/>
        <d v="2025-12-17T00:00:00"/>
        <d v="2025-04-19T00:00:00"/>
        <d v="2025-10-27T00:00:00"/>
        <d v="2025-03-20T00:00:00"/>
        <d v="2025-10-11T00:00:00"/>
        <d v="2025-05-15T00:00:00"/>
        <d v="2025-03-24T00:00:00"/>
        <d v="2025-01-30T00:00:00"/>
        <d v="2025-10-09T00:00:00"/>
        <d v="2025-08-13T00:00:00"/>
        <d v="2025-10-29T00:00:00"/>
        <d v="2025-09-21T00:00:00"/>
        <d v="2025-05-05T00:00:00"/>
        <d v="2025-01-28T00:00:00"/>
        <d v="2025-03-13T00:00:00"/>
        <d v="2025-01-26T00:00:00"/>
        <d v="2025-01-31T00:00:00"/>
        <d v="2025-03-21T00:00:00"/>
        <d v="2025-03-03T00:00:00"/>
        <d v="2025-04-15T00:00:00"/>
        <d v="2025-08-23T00:00:00"/>
        <d v="2025-05-26T00:00:00"/>
        <d v="2025-05-16T00:00:00"/>
        <d v="2025-12-18T00:00:00"/>
        <d v="2025-06-20T00:00:00"/>
        <d v="2025-12-20T00:00:00"/>
        <d v="2025-03-25T00:00:00"/>
        <d v="2025-05-17T00:00:00"/>
        <d v="2025-06-06T00:00:00"/>
        <d v="2025-06-29T00:00:00"/>
        <d v="2025-02-25T00:00:00"/>
        <d v="2025-05-11T00:00:00"/>
        <d v="2025-12-06T00:00:00"/>
        <d v="2025-04-09T00:00:00"/>
        <d v="2025-04-18T00:00:00"/>
        <d v="2025-01-13T00:00:00"/>
        <d v="2025-12-23T00:00:00"/>
        <d v="2025-04-23T00:00:00"/>
        <d v="2025-08-15T00:00:00"/>
        <d v="2025-09-24T00:00:00"/>
        <d v="2025-10-04T00:00:00"/>
        <d v="2025-07-28T00:00:00"/>
        <d v="2025-10-22T00:00:00"/>
        <d v="2025-09-07T00:00:00"/>
        <d v="2025-08-28T00:00:00"/>
        <d v="2025-08-04T00:00:00"/>
        <d v="2025-08-31T00:00:00"/>
        <d v="2025-06-09T00:00:00"/>
        <d v="2025-01-07T00:00:00"/>
        <d v="2025-09-25T00:00:00"/>
        <d v="2025-05-23T00:00:00"/>
        <d v="2025-09-22T00:00:00"/>
        <d v="2025-08-18T00:00:00"/>
        <d v="2025-05-21T00:00:00"/>
        <d v="2025-08-29T00:00:00"/>
        <d v="2025-02-03T00:00:00"/>
        <d v="2025-05-08T00:00:00"/>
        <d v="2025-03-22T00:00:00"/>
        <d v="2025-02-06T00:00:00"/>
        <d v="2025-03-14T00:00:00"/>
        <d v="2025-11-06T00:00:00"/>
        <d v="2025-10-23T00:00:00"/>
        <d v="2025-02-16T00:00:00"/>
        <d v="2025-12-22T00:00:00"/>
        <d v="2025-07-26T00:00:00"/>
        <d v="2025-11-17T00:00:00"/>
        <d v="2025-03-04T00:00:00"/>
        <d v="2025-02-28T00:00:00"/>
        <d v="2025-09-05T00:00:00"/>
        <d v="2025-02-05T00:00:00"/>
        <d v="2025-03-18T00:00:00"/>
        <d v="2025-11-16T00:00:00"/>
        <d v="2025-05-01T00:00:00"/>
        <d v="2025-01-24T00:00:00"/>
        <d v="2025-10-17T00:00:00"/>
        <d v="2025-10-26T00:00:00"/>
        <d v="2025-12-13T00:00:00"/>
        <d v="2025-08-22T00:00:00"/>
        <d v="2025-12-25T00:00:00"/>
        <d v="2025-05-27T00:00:00"/>
        <d v="2025-11-18T00:00:00"/>
        <d v="2025-06-17T00:00:00"/>
        <d v="2025-05-12T00:00:00"/>
        <d v="2025-10-13T00:00:00"/>
        <d v="2025-11-09T00:00:00"/>
        <d v="2025-06-05T00:00:00"/>
        <d v="2025-10-28T00:00:00"/>
        <d v="2025-02-01T00:00:00"/>
        <d v="2025-06-18T00:00:00"/>
        <d v="2025-12-05T00:00:00"/>
        <d v="2025-01-27T00:00:00"/>
        <d v="2025-08-20T00:00:00"/>
        <d v="2025-08-07T00:00:00"/>
        <d v="2025-08-09T00:00:00"/>
        <d v="2025-08-10T00:00:00"/>
        <d v="2025-07-01T00:00:00"/>
        <d v="2025-12-03T00:00:00"/>
        <d v="2025-08-08T00:00:00"/>
        <d v="2025-04-03T00:00:00"/>
        <d v="2025-07-12T00:00:00"/>
        <d v="2025-08-01T00:00:00"/>
        <d v="2025-09-27T00:00:00"/>
        <d v="2025-03-12T00:00:00"/>
        <d v="2025-07-14T00:00:00"/>
        <d v="2025-06-10T00:00:00"/>
        <d v="2025-11-13T00:00:00"/>
        <d v="2025-07-22T00:00:00"/>
        <d v="2025-06-28T00:00:00"/>
        <d v="2025-12-02T00:00:00"/>
        <d v="2025-06-30T00:00:00"/>
        <d v="2025-11-27T00:00:00"/>
        <d v="2025-09-14T00:00:00"/>
        <d v="2025-05-07T00:00:00"/>
        <d v="2025-11-20T00:00:00"/>
        <d v="2025-10-14T00:00:00"/>
        <d v="2025-06-08T00:00:00"/>
        <d v="2025-06-01T00:00:00"/>
        <d v="2025-10-01T00:00:00"/>
        <d v="2025-07-15T00:00:00"/>
        <d v="2025-07-10T00:00:00"/>
        <d v="2025-08-12T00:00:00"/>
        <d v="2025-01-10T00:00:00"/>
        <d v="2025-05-03T00:00:00"/>
        <d v="2025-03-15T00:00:00"/>
        <d v="2025-02-04T00:00:00"/>
        <d v="2025-07-02T00:00:00"/>
        <d v="2025-11-26T00:00:00"/>
        <d v="2025-05-31T00:00:00"/>
        <d v="2025-05-10T00:00:00"/>
        <d v="2025-07-24T00:00:00"/>
        <d v="2025-02-12T00:00:00"/>
        <d v="2025-11-11T00:00:00"/>
        <d v="2025-07-23T00:00:00"/>
        <d v="2025-06-03T00:00:00"/>
        <d v="2025-01-14T00:00:00"/>
        <d v="2025-03-07T00:00:00"/>
        <d v="2025-06-15T00:00:00"/>
        <d v="2025-03-06T00:00:00"/>
        <d v="2025-10-16T00:00:00"/>
        <d v="2025-08-21T00:00:00"/>
        <d v="2025-08-27T00:00:00"/>
        <d v="2025-06-07T00:00:00"/>
        <d v="2025-01-25T00:00:00"/>
        <d v="2025-03-10T00:00:00"/>
        <d v="2025-07-05T00:00:00"/>
        <d v="2025-09-17T00:00:00"/>
        <d v="2025-03-29T00:00:00"/>
        <d v="2025-09-30T00:00:00"/>
        <d v="2025-06-02T00:00:00"/>
        <d v="2025-08-30T00:00:00"/>
        <d v="2025-06-14T00:00:00"/>
        <d v="2025-04-01T00:00:00"/>
        <d v="2025-10-18T00:00:00"/>
        <d v="2025-05-20T00:00:00"/>
        <d v="2025-06-22T00:00:00"/>
        <d v="2025-04-05T00:00:00"/>
        <d v="2025-10-21T00:00:00"/>
        <d v="2025-03-11T00:00:00"/>
        <d v="2025-12-01T00:00:00"/>
        <d v="2025-01-12T00:00:00"/>
        <d v="2025-04-07T00:00:00"/>
        <d v="2025-08-17T00:00:00"/>
        <d v="2025-09-15T00:00:00"/>
        <d v="2025-07-31T00:00:00"/>
        <d v="2025-05-04T00:00:00"/>
        <d v="2025-07-18T00:00:00"/>
        <d v="2025-10-02T00:00:00"/>
        <d v="2025-09-03T00:00:00"/>
        <d v="2025-01-04T00:00:00"/>
        <d v="2025-07-11T00:00:00"/>
        <d v="2025-09-29T00:00:00"/>
        <d v="2025-09-28T00:00:00"/>
        <d v="2025-04-02T00:00:00"/>
        <d v="2025-04-06T00:00:00"/>
        <d v="2025-12-31T00:00:00"/>
        <d v="2025-07-04T00:00:00"/>
        <d v="2025-02-22T00:00:00"/>
        <d v="2025-05-30T00:00:00"/>
        <d v="2025-02-24T00:00:00"/>
        <d v="2025-06-21T00:00:00"/>
        <d v="2025-06-13T00:00:00"/>
        <d v="2025-07-29T00:00:00"/>
        <d v="2025-04-24T00:00:00"/>
        <d v="2025-06-26T00:00:00"/>
        <d v="2025-04-16T00:00:00"/>
        <d v="2025-12-10T00:00:00"/>
        <d v="2025-12-11T00:00:00"/>
        <d v="2025-10-12T00:00:00"/>
        <d v="2025-01-17T00:00:00"/>
        <d v="2025-03-02T00:00:00"/>
        <d v="2025-11-22T00:00:00"/>
        <d v="2025-03-05T00:00:00"/>
        <d v="2025-03-23T00:00:00"/>
        <d v="2025-03-09T00:00:00"/>
        <d v="2025-09-02T00:00:00"/>
        <d v="2025-03-27T00:00:00"/>
        <d v="2025-02-14T00:00:00"/>
        <d v="2025-08-26T00:00:00"/>
        <d v="2025-10-05T00:00:00"/>
        <d v="2025-04-29T00:00:00"/>
        <d v="2025-11-23T00:00:00"/>
        <d v="2025-07-21T00:00:00"/>
        <d v="2025-04-21T00:00:00"/>
        <d v="2025-03-31T00:00:00"/>
        <d v="2025-02-08T00:00:00"/>
        <d v="2025-01-22T00:00:00"/>
        <d v="2025-03-30T00:00:00"/>
        <d v="2025-11-28T00:00:00"/>
        <d v="2025-04-13T00:00:00"/>
        <d v="2025-05-24T00:00:00"/>
        <d v="2025-03-08T00:00:00"/>
        <d v="2025-04-25T00:00:00"/>
        <d v="2025-06-19T00:00:00"/>
        <d v="2025-01-06T00:00:00"/>
        <d v="2025-07-17T00:00:00"/>
        <d v="2025-02-07T00:00:00"/>
        <d v="2025-11-01T00:00:00"/>
        <d v="2025-07-09T00:00:00"/>
        <d v="2025-03-19T00:00:00"/>
        <d v="2025-04-14T00:00:00"/>
        <d v="2025-05-22T00:00:00"/>
        <d v="2025-01-20T00:00:00"/>
      </sharedItems>
      <fieldGroup par="14"/>
    </cacheField>
    <cacheField name="Customer_ID" numFmtId="0">
      <sharedItems/>
    </cacheField>
    <cacheField name="Region" numFmtId="0">
      <sharedItems count="5">
        <s v="North"/>
        <s v="West"/>
        <s v="East"/>
        <s v="South"/>
        <s v="Unknown"/>
      </sharedItems>
    </cacheField>
    <cacheField name="Category" numFmtId="0">
      <sharedItems count="4">
        <s v="Office Supplies"/>
        <s v="Electronics"/>
        <s v="Furniture"/>
        <s v="Accessories"/>
      </sharedItems>
    </cacheField>
    <cacheField name="Product" numFmtId="0">
      <sharedItems count="16">
        <s v="Notebook"/>
        <s v="Laptop"/>
        <s v="Filing Cabinet"/>
        <s v="Headphones"/>
        <s v="Office Chair"/>
        <s v="Webcam"/>
        <s v="Mouse"/>
        <s v="Printer Ink"/>
        <s v="Keyboard"/>
        <s v="Stapler"/>
        <s v="Monitor"/>
        <s v="Bookshelf"/>
        <s v="Printer Paper"/>
        <s v="USB Hub"/>
        <s v="Laptop Bag"/>
        <s v="Desk"/>
      </sharedItems>
    </cacheField>
    <cacheField name="Quantity" numFmtId="0">
      <sharedItems containsSemiMixedTypes="0" containsString="0" containsNumber="1" containsInteger="1" minValue="1" maxValue="6"/>
    </cacheField>
    <cacheField name="Unit_Price" numFmtId="165">
      <sharedItems containsSemiMixedTypes="0" containsString="0" containsNumber="1" containsInteger="1" minValue="120" maxValue="52000"/>
    </cacheField>
    <cacheField name="Discount" numFmtId="9">
      <sharedItems containsSemiMixedTypes="0" containsString="0" containsNumber="1" minValue="0" maxValue="0.2" count="5">
        <n v="0.05"/>
        <n v="0.1"/>
        <n v="0"/>
        <n v="0.15"/>
        <n v="0.2"/>
      </sharedItems>
    </cacheField>
    <cacheField name="Sales" numFmtId="165">
      <sharedItems containsSemiMixedTypes="0" containsString="0" containsNumber="1" minValue="108" maxValue="280800"/>
    </cacheField>
    <cacheField name="Profit" numFmtId="165">
      <sharedItems containsSemiMixedTypes="0" containsString="0" containsNumber="1" minValue="9.6199999999999992" maxValue="49347.07"/>
    </cacheField>
    <cacheField name="Payment_Method" numFmtId="0">
      <sharedItems count="5">
        <s v="Cash"/>
        <s v="UPI"/>
        <s v="Net Banking"/>
        <s v="Debit Card"/>
        <s v="Credit Card"/>
      </sharedItems>
    </cacheField>
    <cacheField name="Sales_Channel" numFmtId="0">
      <sharedItems count="2">
        <s v="Online"/>
        <s v="Retail Store"/>
      </sharedItems>
    </cacheField>
    <cacheField name="Profit_Margin" numFmtId="10">
      <sharedItems containsSemiMixedTypes="0" containsString="0" containsNumber="1" minValue="0.03" maxValue="0.2356984"/>
    </cacheField>
    <cacheField name="Months (Order_Date)" numFmtId="0" databaseField="0">
      <fieldGroup base="1">
        <rangePr groupBy="months" startDate="2025-01-04T00:00:00" endDate="2026-01-01T00:00:00"/>
        <groupItems count="14">
          <s v="&lt;04-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CUST-0029"/>
    <x v="0"/>
    <x v="0"/>
    <x v="0"/>
    <n v="2"/>
    <n v="120"/>
    <x v="0"/>
    <n v="228"/>
    <n v="41.12"/>
    <x v="0"/>
    <x v="0"/>
    <n v="0.18035087719298246"/>
  </r>
  <r>
    <s v="ORD-0002"/>
    <x v="1"/>
    <s v="CUST-0109"/>
    <x v="0"/>
    <x v="1"/>
    <x v="1"/>
    <n v="2"/>
    <n v="52000"/>
    <x v="0"/>
    <n v="98800"/>
    <n v="14163.66"/>
    <x v="1"/>
    <x v="0"/>
    <n v="0.14335688259109311"/>
  </r>
  <r>
    <s v="ORD-0003"/>
    <x v="2"/>
    <s v="CUST-0140"/>
    <x v="1"/>
    <x v="2"/>
    <x v="2"/>
    <n v="5"/>
    <n v="7800"/>
    <x v="1"/>
    <n v="35100"/>
    <n v="6125.26"/>
    <x v="1"/>
    <x v="0"/>
    <n v="0.1745088319088319"/>
  </r>
  <r>
    <s v="ORD-0004"/>
    <x v="3"/>
    <s v="CUST-0109"/>
    <x v="2"/>
    <x v="0"/>
    <x v="0"/>
    <n v="2"/>
    <n v="120"/>
    <x v="1"/>
    <n v="216"/>
    <n v="13.25"/>
    <x v="2"/>
    <x v="0"/>
    <n v="6.1342592592592594E-2"/>
  </r>
  <r>
    <s v="ORD-0005"/>
    <x v="4"/>
    <s v="CUST-0089"/>
    <x v="2"/>
    <x v="1"/>
    <x v="3"/>
    <n v="5"/>
    <n v="2500"/>
    <x v="2"/>
    <n v="12500"/>
    <n v="2946.23"/>
    <x v="2"/>
    <x v="0"/>
    <n v="0.2356984"/>
  </r>
  <r>
    <s v="ORD-0006"/>
    <x v="5"/>
    <s v="CUST-0076"/>
    <x v="2"/>
    <x v="2"/>
    <x v="4"/>
    <n v="1"/>
    <n v="8500"/>
    <x v="0"/>
    <n v="8075"/>
    <n v="1503.49"/>
    <x v="1"/>
    <x v="0"/>
    <n v="0.1861907120743034"/>
  </r>
  <r>
    <s v="ORD-0007"/>
    <x v="6"/>
    <s v="CUST-0098"/>
    <x v="2"/>
    <x v="3"/>
    <x v="5"/>
    <n v="2"/>
    <n v="2200"/>
    <x v="1"/>
    <n v="3960"/>
    <n v="403.3"/>
    <x v="3"/>
    <x v="0"/>
    <n v="0.10184343434343435"/>
  </r>
  <r>
    <s v="ORD-0008"/>
    <x v="7"/>
    <s v="CUST-0044"/>
    <x v="3"/>
    <x v="2"/>
    <x v="2"/>
    <n v="4"/>
    <n v="7800"/>
    <x v="1"/>
    <n v="28080"/>
    <n v="5709.33"/>
    <x v="0"/>
    <x v="0"/>
    <n v="0.20332371794871795"/>
  </r>
  <r>
    <s v="ORD-0009"/>
    <x v="8"/>
    <s v="CUST-0084"/>
    <x v="0"/>
    <x v="2"/>
    <x v="4"/>
    <n v="3"/>
    <n v="8500"/>
    <x v="3"/>
    <n v="21675"/>
    <n v="1524.59"/>
    <x v="4"/>
    <x v="1"/>
    <n v="7.0338638985005766E-2"/>
  </r>
  <r>
    <s v="ORD-0010"/>
    <x v="9"/>
    <s v="CUST-0128"/>
    <x v="1"/>
    <x v="3"/>
    <x v="6"/>
    <n v="3"/>
    <n v="700"/>
    <x v="0"/>
    <n v="1995"/>
    <n v="203.41"/>
    <x v="0"/>
    <x v="1"/>
    <n v="0.10195989974937343"/>
  </r>
  <r>
    <s v="ORD-0011"/>
    <x v="10"/>
    <s v="CUST-0110"/>
    <x v="1"/>
    <x v="0"/>
    <x v="0"/>
    <n v="2"/>
    <n v="120"/>
    <x v="4"/>
    <n v="192"/>
    <n v="17.079999999999998"/>
    <x v="1"/>
    <x v="0"/>
    <n v="8.895833333333332E-2"/>
  </r>
  <r>
    <s v="ORD-0012"/>
    <x v="11"/>
    <s v="CUST-0041"/>
    <x v="1"/>
    <x v="1"/>
    <x v="3"/>
    <n v="4"/>
    <n v="2500"/>
    <x v="4"/>
    <n v="8000"/>
    <n v="1355.04"/>
    <x v="0"/>
    <x v="1"/>
    <n v="0.16938"/>
  </r>
  <r>
    <s v="ORD-0013"/>
    <x v="12"/>
    <s v="CUST-0003"/>
    <x v="0"/>
    <x v="0"/>
    <x v="7"/>
    <n v="1"/>
    <n v="1600"/>
    <x v="1"/>
    <n v="1440"/>
    <n v="164.97"/>
    <x v="2"/>
    <x v="0"/>
    <n v="0.1145625"/>
  </r>
  <r>
    <s v="ORD-0014"/>
    <x v="13"/>
    <s v="CUST-0129"/>
    <x v="3"/>
    <x v="1"/>
    <x v="8"/>
    <n v="6"/>
    <n v="1800"/>
    <x v="4"/>
    <n v="8640"/>
    <n v="928.24"/>
    <x v="4"/>
    <x v="1"/>
    <n v="0.10743518518518519"/>
  </r>
  <r>
    <s v="ORD-0015"/>
    <x v="14"/>
    <s v="CUST-0139"/>
    <x v="0"/>
    <x v="0"/>
    <x v="9"/>
    <n v="1"/>
    <n v="220"/>
    <x v="2"/>
    <n v="220"/>
    <n v="50.3"/>
    <x v="3"/>
    <x v="0"/>
    <n v="0.22863636363636361"/>
  </r>
  <r>
    <s v="ORD-0016"/>
    <x v="15"/>
    <s v="CUST-0062"/>
    <x v="0"/>
    <x v="1"/>
    <x v="3"/>
    <n v="1"/>
    <n v="2500"/>
    <x v="4"/>
    <n v="2000"/>
    <n v="265.07"/>
    <x v="4"/>
    <x v="1"/>
    <n v="0.13253499999999999"/>
  </r>
  <r>
    <s v="ORD-0017"/>
    <x v="16"/>
    <s v="CUST-0043"/>
    <x v="2"/>
    <x v="3"/>
    <x v="6"/>
    <n v="5"/>
    <n v="700"/>
    <x v="0"/>
    <n v="3325"/>
    <n v="587.1"/>
    <x v="2"/>
    <x v="1"/>
    <n v="0.17657142857142857"/>
  </r>
  <r>
    <s v="ORD-0018"/>
    <x v="17"/>
    <s v="CUST-0133"/>
    <x v="1"/>
    <x v="1"/>
    <x v="10"/>
    <n v="2"/>
    <n v="14500"/>
    <x v="2"/>
    <n v="29000"/>
    <n v="3888.72"/>
    <x v="0"/>
    <x v="0"/>
    <n v="0.13409379310344827"/>
  </r>
  <r>
    <s v="ORD-0019"/>
    <x v="18"/>
    <s v="CUST-0057"/>
    <x v="0"/>
    <x v="1"/>
    <x v="1"/>
    <n v="2"/>
    <n v="52000"/>
    <x v="2"/>
    <n v="104000"/>
    <n v="23386.19"/>
    <x v="3"/>
    <x v="0"/>
    <n v="0.22486721153846154"/>
  </r>
  <r>
    <s v="ORD-0020"/>
    <x v="19"/>
    <s v="CUST-0061"/>
    <x v="2"/>
    <x v="3"/>
    <x v="6"/>
    <n v="5"/>
    <n v="700"/>
    <x v="0"/>
    <n v="3325"/>
    <n v="592.64"/>
    <x v="0"/>
    <x v="1"/>
    <n v="0.17823759398496239"/>
  </r>
  <r>
    <s v="ORD-0021"/>
    <x v="20"/>
    <s v="CUST-0122"/>
    <x v="1"/>
    <x v="2"/>
    <x v="4"/>
    <n v="1"/>
    <n v="8500"/>
    <x v="3"/>
    <n v="7225"/>
    <n v="608.26"/>
    <x v="2"/>
    <x v="1"/>
    <n v="8.4188235294117647E-2"/>
  </r>
  <r>
    <s v="ORD-0022"/>
    <x v="21"/>
    <s v="CUST-0026"/>
    <x v="0"/>
    <x v="3"/>
    <x v="5"/>
    <n v="1"/>
    <n v="2200"/>
    <x v="0"/>
    <n v="2090"/>
    <n v="194.69"/>
    <x v="0"/>
    <x v="1"/>
    <n v="9.315311004784689E-2"/>
  </r>
  <r>
    <s v="ORD-0023"/>
    <x v="22"/>
    <s v="CUST-0109"/>
    <x v="3"/>
    <x v="0"/>
    <x v="9"/>
    <n v="2"/>
    <n v="220"/>
    <x v="2"/>
    <n v="440"/>
    <n v="66.400000000000006"/>
    <x v="0"/>
    <x v="0"/>
    <n v="0.15090909090909091"/>
  </r>
  <r>
    <s v="ORD-0024"/>
    <x v="23"/>
    <s v="CUST-0139"/>
    <x v="0"/>
    <x v="1"/>
    <x v="10"/>
    <n v="2"/>
    <n v="14500"/>
    <x v="3"/>
    <n v="24650"/>
    <n v="2593.2399999999998"/>
    <x v="4"/>
    <x v="1"/>
    <n v="0.1052024340770791"/>
  </r>
  <r>
    <s v="ORD-0025"/>
    <x v="24"/>
    <s v="CUST-0043"/>
    <x v="1"/>
    <x v="1"/>
    <x v="3"/>
    <n v="3"/>
    <n v="2500"/>
    <x v="3"/>
    <n v="6375"/>
    <n v="466.27"/>
    <x v="0"/>
    <x v="1"/>
    <n v="7.3140392156862744E-2"/>
  </r>
  <r>
    <s v="ORD-0026"/>
    <x v="25"/>
    <s v="CUST-0049"/>
    <x v="2"/>
    <x v="2"/>
    <x v="4"/>
    <n v="5"/>
    <n v="8500"/>
    <x v="4"/>
    <n v="34000"/>
    <n v="1020"/>
    <x v="3"/>
    <x v="0"/>
    <n v="0.03"/>
  </r>
  <r>
    <s v="ORD-0027"/>
    <x v="23"/>
    <s v="CUST-0123"/>
    <x v="3"/>
    <x v="1"/>
    <x v="1"/>
    <n v="2"/>
    <n v="52000"/>
    <x v="2"/>
    <n v="104000"/>
    <n v="18221.38"/>
    <x v="4"/>
    <x v="1"/>
    <n v="0.17520557692307692"/>
  </r>
  <r>
    <s v="ORD-0028"/>
    <x v="26"/>
    <s v="CUST-0064"/>
    <x v="0"/>
    <x v="1"/>
    <x v="3"/>
    <n v="6"/>
    <n v="2500"/>
    <x v="4"/>
    <n v="12000"/>
    <n v="1205.24"/>
    <x v="3"/>
    <x v="1"/>
    <n v="0.10043666666666667"/>
  </r>
  <r>
    <s v="ORD-0029"/>
    <x v="27"/>
    <s v="CUST-0081"/>
    <x v="3"/>
    <x v="0"/>
    <x v="9"/>
    <n v="2"/>
    <n v="220"/>
    <x v="1"/>
    <n v="396"/>
    <n v="46.79"/>
    <x v="1"/>
    <x v="0"/>
    <n v="0.11815656565656565"/>
  </r>
  <r>
    <s v="ORD-0030"/>
    <x v="28"/>
    <s v="CUST-0026"/>
    <x v="0"/>
    <x v="2"/>
    <x v="11"/>
    <n v="2"/>
    <n v="6500"/>
    <x v="1"/>
    <n v="11700"/>
    <n v="2175.48"/>
    <x v="4"/>
    <x v="1"/>
    <n v="0.18593846153846155"/>
  </r>
  <r>
    <s v="ORD-0031"/>
    <x v="29"/>
    <s v="CUST-0041"/>
    <x v="1"/>
    <x v="0"/>
    <x v="12"/>
    <n v="6"/>
    <n v="450"/>
    <x v="4"/>
    <n v="2160"/>
    <n v="125.07"/>
    <x v="1"/>
    <x v="0"/>
    <n v="5.7902777777777775E-2"/>
  </r>
  <r>
    <s v="ORD-0032"/>
    <x v="30"/>
    <s v="CUST-0030"/>
    <x v="0"/>
    <x v="2"/>
    <x v="11"/>
    <n v="3"/>
    <n v="6500"/>
    <x v="4"/>
    <n v="15600"/>
    <n v="681.73"/>
    <x v="3"/>
    <x v="0"/>
    <n v="4.3700641025641029E-2"/>
  </r>
  <r>
    <s v="ORD-0033"/>
    <x v="31"/>
    <s v="CUST-0068"/>
    <x v="1"/>
    <x v="0"/>
    <x v="12"/>
    <n v="1"/>
    <n v="450"/>
    <x v="3"/>
    <n v="382.5"/>
    <n v="61.27"/>
    <x v="1"/>
    <x v="0"/>
    <n v="0.16018300653594772"/>
  </r>
  <r>
    <s v="ORD-0034"/>
    <x v="32"/>
    <s v="CUST-0034"/>
    <x v="2"/>
    <x v="2"/>
    <x v="2"/>
    <n v="5"/>
    <n v="7800"/>
    <x v="3"/>
    <n v="33150"/>
    <n v="3886.68"/>
    <x v="1"/>
    <x v="0"/>
    <n v="0.11724524886877828"/>
  </r>
  <r>
    <s v="ORD-0035"/>
    <x v="33"/>
    <s v="CUST-0039"/>
    <x v="0"/>
    <x v="0"/>
    <x v="0"/>
    <n v="4"/>
    <n v="120"/>
    <x v="0"/>
    <n v="456"/>
    <n v="31.55"/>
    <x v="3"/>
    <x v="0"/>
    <n v="6.9188596491228077E-2"/>
  </r>
  <r>
    <s v="ORD-0036"/>
    <x v="4"/>
    <s v="CUST-0054"/>
    <x v="3"/>
    <x v="1"/>
    <x v="8"/>
    <n v="5"/>
    <n v="1800"/>
    <x v="3"/>
    <n v="7650"/>
    <n v="1402.35"/>
    <x v="4"/>
    <x v="0"/>
    <n v="0.18331372549019606"/>
  </r>
  <r>
    <s v="ORD-0037"/>
    <x v="34"/>
    <s v="CUST-0046"/>
    <x v="1"/>
    <x v="1"/>
    <x v="10"/>
    <n v="6"/>
    <n v="14500"/>
    <x v="1"/>
    <n v="78300"/>
    <n v="13325.24"/>
    <x v="2"/>
    <x v="0"/>
    <n v="0.17018186462324392"/>
  </r>
  <r>
    <s v="ORD-0038"/>
    <x v="35"/>
    <s v="CUST-0041"/>
    <x v="0"/>
    <x v="3"/>
    <x v="13"/>
    <n v="4"/>
    <n v="900"/>
    <x v="0"/>
    <n v="3420"/>
    <n v="322.95999999999998"/>
    <x v="2"/>
    <x v="1"/>
    <n v="9.4432748538011688E-2"/>
  </r>
  <r>
    <s v="ORD-0039"/>
    <x v="36"/>
    <s v="CUST-0059"/>
    <x v="3"/>
    <x v="1"/>
    <x v="10"/>
    <n v="4"/>
    <n v="14500"/>
    <x v="1"/>
    <n v="52200"/>
    <n v="4675.8900000000003"/>
    <x v="1"/>
    <x v="1"/>
    <n v="8.9576436781609203E-2"/>
  </r>
  <r>
    <s v="ORD-0040"/>
    <x v="37"/>
    <s v="CUST-0131"/>
    <x v="1"/>
    <x v="0"/>
    <x v="12"/>
    <n v="1"/>
    <n v="450"/>
    <x v="1"/>
    <n v="405"/>
    <n v="29.8"/>
    <x v="3"/>
    <x v="0"/>
    <n v="7.3580246913580255E-2"/>
  </r>
  <r>
    <s v="ORD-0041"/>
    <x v="38"/>
    <s v="Unknown"/>
    <x v="2"/>
    <x v="0"/>
    <x v="9"/>
    <n v="5"/>
    <n v="220"/>
    <x v="4"/>
    <n v="880"/>
    <n v="26.4"/>
    <x v="0"/>
    <x v="0"/>
    <n v="0.03"/>
  </r>
  <r>
    <s v="ORD-0042"/>
    <x v="39"/>
    <s v="CUST-0012"/>
    <x v="1"/>
    <x v="1"/>
    <x v="10"/>
    <n v="3"/>
    <n v="14500"/>
    <x v="3"/>
    <n v="36975"/>
    <n v="1430.78"/>
    <x v="3"/>
    <x v="1"/>
    <n v="3.8695875591615955E-2"/>
  </r>
  <r>
    <s v="ORD-0043"/>
    <x v="40"/>
    <s v="CUST-0032"/>
    <x v="2"/>
    <x v="0"/>
    <x v="9"/>
    <n v="3"/>
    <n v="220"/>
    <x v="3"/>
    <n v="561"/>
    <n v="78.010000000000005"/>
    <x v="0"/>
    <x v="0"/>
    <n v="0.13905525846702319"/>
  </r>
  <r>
    <s v="ORD-0044"/>
    <x v="41"/>
    <s v="CUST-0108"/>
    <x v="1"/>
    <x v="2"/>
    <x v="11"/>
    <n v="4"/>
    <n v="6500"/>
    <x v="4"/>
    <n v="20800"/>
    <n v="2982.64"/>
    <x v="3"/>
    <x v="1"/>
    <n v="0.14339615384615384"/>
  </r>
  <r>
    <s v="ORD-0045"/>
    <x v="42"/>
    <s v="CUST-0111"/>
    <x v="2"/>
    <x v="3"/>
    <x v="14"/>
    <n v="4"/>
    <n v="1800"/>
    <x v="0"/>
    <n v="6840"/>
    <n v="986.93"/>
    <x v="4"/>
    <x v="0"/>
    <n v="0.14428801169590644"/>
  </r>
  <r>
    <s v="ORD-0046"/>
    <x v="29"/>
    <s v="CUST-0132"/>
    <x v="2"/>
    <x v="1"/>
    <x v="10"/>
    <n v="6"/>
    <n v="14500"/>
    <x v="1"/>
    <n v="78300"/>
    <n v="6337.8"/>
    <x v="4"/>
    <x v="0"/>
    <n v="8.094252873563218E-2"/>
  </r>
  <r>
    <s v="ORD-0047"/>
    <x v="43"/>
    <s v="CUST-0012"/>
    <x v="3"/>
    <x v="3"/>
    <x v="13"/>
    <n v="4"/>
    <n v="900"/>
    <x v="3"/>
    <n v="3060"/>
    <n v="518"/>
    <x v="0"/>
    <x v="0"/>
    <n v="0.169281045751634"/>
  </r>
  <r>
    <s v="ORD-0048"/>
    <x v="44"/>
    <s v="CUST-0099"/>
    <x v="1"/>
    <x v="3"/>
    <x v="6"/>
    <n v="2"/>
    <n v="700"/>
    <x v="2"/>
    <n v="1400"/>
    <n v="311.95999999999998"/>
    <x v="1"/>
    <x v="1"/>
    <n v="0.2228285714285714"/>
  </r>
  <r>
    <s v="ORD-0049"/>
    <x v="45"/>
    <s v="CUST-0046"/>
    <x v="1"/>
    <x v="1"/>
    <x v="10"/>
    <n v="1"/>
    <n v="14500"/>
    <x v="3"/>
    <n v="12325"/>
    <n v="601.88"/>
    <x v="2"/>
    <x v="1"/>
    <n v="4.8834077079107502E-2"/>
  </r>
  <r>
    <s v="ORD-0050"/>
    <x v="46"/>
    <s v="CUST-0130"/>
    <x v="1"/>
    <x v="3"/>
    <x v="6"/>
    <n v="6"/>
    <n v="700"/>
    <x v="3"/>
    <n v="3570"/>
    <n v="355.25"/>
    <x v="4"/>
    <x v="1"/>
    <n v="9.9509803921568621E-2"/>
  </r>
  <r>
    <s v="ORD-0051"/>
    <x v="47"/>
    <s v="CUST-0125"/>
    <x v="3"/>
    <x v="0"/>
    <x v="9"/>
    <n v="1"/>
    <n v="220"/>
    <x v="1"/>
    <n v="198"/>
    <n v="16.34"/>
    <x v="3"/>
    <x v="1"/>
    <n v="8.2525252525252529E-2"/>
  </r>
  <r>
    <s v="ORD-0052"/>
    <x v="48"/>
    <s v="CUST-0021"/>
    <x v="4"/>
    <x v="2"/>
    <x v="15"/>
    <n v="4"/>
    <n v="12000"/>
    <x v="0"/>
    <n v="45600"/>
    <n v="8004.03"/>
    <x v="1"/>
    <x v="1"/>
    <n v="0.17552697368421052"/>
  </r>
  <r>
    <s v="ORD-0053"/>
    <x v="49"/>
    <s v="CUST-0085"/>
    <x v="1"/>
    <x v="3"/>
    <x v="13"/>
    <n v="2"/>
    <n v="900"/>
    <x v="3"/>
    <n v="1530"/>
    <n v="137.41999999999999"/>
    <x v="0"/>
    <x v="0"/>
    <n v="8.981699346405228E-2"/>
  </r>
  <r>
    <s v="ORD-0054"/>
    <x v="50"/>
    <s v="CUST-0098"/>
    <x v="1"/>
    <x v="1"/>
    <x v="8"/>
    <n v="3"/>
    <n v="1800"/>
    <x v="3"/>
    <n v="4590"/>
    <n v="753"/>
    <x v="2"/>
    <x v="0"/>
    <n v="0.16405228758169935"/>
  </r>
  <r>
    <s v="ORD-0055"/>
    <x v="51"/>
    <s v="CUST-0057"/>
    <x v="2"/>
    <x v="3"/>
    <x v="14"/>
    <n v="1"/>
    <n v="1800"/>
    <x v="3"/>
    <n v="1530"/>
    <n v="124.36"/>
    <x v="2"/>
    <x v="0"/>
    <n v="8.1281045751633987E-2"/>
  </r>
  <r>
    <s v="ORD-0056"/>
    <x v="52"/>
    <s v="CUST-0033"/>
    <x v="0"/>
    <x v="3"/>
    <x v="13"/>
    <n v="1"/>
    <n v="900"/>
    <x v="3"/>
    <n v="765"/>
    <n v="37.65"/>
    <x v="2"/>
    <x v="0"/>
    <n v="4.9215686274509805E-2"/>
  </r>
  <r>
    <s v="ORD-0057"/>
    <x v="23"/>
    <s v="CUST-0067"/>
    <x v="1"/>
    <x v="0"/>
    <x v="0"/>
    <n v="4"/>
    <n v="120"/>
    <x v="1"/>
    <n v="432"/>
    <n v="42.77"/>
    <x v="2"/>
    <x v="1"/>
    <n v="9.9004629629629637E-2"/>
  </r>
  <r>
    <s v="ORD-0058"/>
    <x v="53"/>
    <s v="CUST-0065"/>
    <x v="0"/>
    <x v="3"/>
    <x v="13"/>
    <n v="6"/>
    <n v="900"/>
    <x v="4"/>
    <n v="4320"/>
    <n v="129.6"/>
    <x v="3"/>
    <x v="0"/>
    <n v="0.03"/>
  </r>
  <r>
    <s v="ORD-0059"/>
    <x v="2"/>
    <s v="CUST-0018"/>
    <x v="0"/>
    <x v="1"/>
    <x v="10"/>
    <n v="2"/>
    <n v="14500"/>
    <x v="2"/>
    <n v="29000"/>
    <n v="5203"/>
    <x v="4"/>
    <x v="0"/>
    <n v="0.17941379310344827"/>
  </r>
  <r>
    <s v="ORD-0060"/>
    <x v="54"/>
    <s v="CUST-0030"/>
    <x v="3"/>
    <x v="3"/>
    <x v="5"/>
    <n v="3"/>
    <n v="2200"/>
    <x v="0"/>
    <n v="6270"/>
    <n v="999.71"/>
    <x v="1"/>
    <x v="0"/>
    <n v="0.1594433811802233"/>
  </r>
  <r>
    <s v="ORD-0061"/>
    <x v="55"/>
    <s v="CUST-0028"/>
    <x v="0"/>
    <x v="0"/>
    <x v="9"/>
    <n v="4"/>
    <n v="220"/>
    <x v="0"/>
    <n v="836"/>
    <n v="62.42"/>
    <x v="4"/>
    <x v="0"/>
    <n v="7.4665071770334934E-2"/>
  </r>
  <r>
    <s v="ORD-0062"/>
    <x v="44"/>
    <s v="CUST-0078"/>
    <x v="0"/>
    <x v="1"/>
    <x v="8"/>
    <n v="5"/>
    <n v="1800"/>
    <x v="3"/>
    <n v="7650"/>
    <n v="1020.08"/>
    <x v="1"/>
    <x v="1"/>
    <n v="0.13334379084967321"/>
  </r>
  <r>
    <s v="ORD-0063"/>
    <x v="56"/>
    <s v="CUST-0108"/>
    <x v="1"/>
    <x v="1"/>
    <x v="3"/>
    <n v="3"/>
    <n v="2500"/>
    <x v="3"/>
    <n v="6375"/>
    <n v="896.77"/>
    <x v="2"/>
    <x v="0"/>
    <n v="0.14066980392156864"/>
  </r>
  <r>
    <s v="ORD-0064"/>
    <x v="57"/>
    <s v="CUST-0070"/>
    <x v="1"/>
    <x v="3"/>
    <x v="14"/>
    <n v="6"/>
    <n v="1800"/>
    <x v="4"/>
    <n v="8640"/>
    <n v="457.43"/>
    <x v="4"/>
    <x v="0"/>
    <n v="5.2943287037037039E-2"/>
  </r>
  <r>
    <s v="ORD-0065"/>
    <x v="58"/>
    <s v="CUST-0116"/>
    <x v="3"/>
    <x v="3"/>
    <x v="14"/>
    <n v="3"/>
    <n v="1800"/>
    <x v="2"/>
    <n v="5400"/>
    <n v="859.08"/>
    <x v="3"/>
    <x v="0"/>
    <n v="0.15908888888888889"/>
  </r>
  <r>
    <s v="ORD-0066"/>
    <x v="51"/>
    <s v="CUST-0055"/>
    <x v="2"/>
    <x v="0"/>
    <x v="7"/>
    <n v="3"/>
    <n v="1600"/>
    <x v="4"/>
    <n v="3840"/>
    <n v="469.21"/>
    <x v="3"/>
    <x v="0"/>
    <n v="0.12219010416666666"/>
  </r>
  <r>
    <s v="ORD-0067"/>
    <x v="59"/>
    <s v="CUST-0049"/>
    <x v="0"/>
    <x v="2"/>
    <x v="2"/>
    <n v="4"/>
    <n v="7800"/>
    <x v="4"/>
    <n v="24960"/>
    <n v="3277.41"/>
    <x v="2"/>
    <x v="1"/>
    <n v="0.13130649038461537"/>
  </r>
  <r>
    <s v="ORD-0068"/>
    <x v="60"/>
    <s v="CUST-0005"/>
    <x v="0"/>
    <x v="0"/>
    <x v="0"/>
    <n v="4"/>
    <n v="120"/>
    <x v="0"/>
    <n v="456"/>
    <n v="50.84"/>
    <x v="0"/>
    <x v="1"/>
    <n v="0.11149122807017545"/>
  </r>
  <r>
    <s v="ORD-0069"/>
    <x v="54"/>
    <s v="CUST-0136"/>
    <x v="2"/>
    <x v="3"/>
    <x v="5"/>
    <n v="3"/>
    <n v="2200"/>
    <x v="3"/>
    <n v="5610"/>
    <n v="397.45"/>
    <x v="3"/>
    <x v="0"/>
    <n v="7.0846702317290552E-2"/>
  </r>
  <r>
    <s v="ORD-0070"/>
    <x v="26"/>
    <s v="CUST-0050"/>
    <x v="2"/>
    <x v="1"/>
    <x v="10"/>
    <n v="2"/>
    <n v="14500"/>
    <x v="0"/>
    <n v="27550"/>
    <n v="4977.6400000000003"/>
    <x v="3"/>
    <x v="1"/>
    <n v="0.18067658802177861"/>
  </r>
  <r>
    <s v="ORD-0071"/>
    <x v="6"/>
    <s v="CUST-0050"/>
    <x v="2"/>
    <x v="2"/>
    <x v="11"/>
    <n v="2"/>
    <n v="6500"/>
    <x v="1"/>
    <n v="11700"/>
    <n v="552.99"/>
    <x v="0"/>
    <x v="0"/>
    <n v="4.7264102564102566E-2"/>
  </r>
  <r>
    <s v="ORD-0072"/>
    <x v="61"/>
    <s v="CUST-0012"/>
    <x v="0"/>
    <x v="0"/>
    <x v="0"/>
    <n v="6"/>
    <n v="120"/>
    <x v="3"/>
    <n v="612"/>
    <n v="26.88"/>
    <x v="1"/>
    <x v="1"/>
    <n v="4.3921568627450981E-2"/>
  </r>
  <r>
    <s v="ORD-0073"/>
    <x v="62"/>
    <s v="CUST-0123"/>
    <x v="1"/>
    <x v="0"/>
    <x v="0"/>
    <n v="1"/>
    <n v="120"/>
    <x v="1"/>
    <n v="108"/>
    <n v="21.12"/>
    <x v="2"/>
    <x v="0"/>
    <n v="0.19555555555555557"/>
  </r>
  <r>
    <s v="ORD-0074"/>
    <x v="63"/>
    <s v="CUST-0103"/>
    <x v="1"/>
    <x v="1"/>
    <x v="1"/>
    <n v="2"/>
    <n v="52000"/>
    <x v="0"/>
    <n v="98800"/>
    <n v="18997.53"/>
    <x v="3"/>
    <x v="0"/>
    <n v="0.19228269230769229"/>
  </r>
  <r>
    <s v="ORD-0075"/>
    <x v="64"/>
    <s v="CUST-0031"/>
    <x v="1"/>
    <x v="2"/>
    <x v="2"/>
    <n v="4"/>
    <n v="7800"/>
    <x v="3"/>
    <n v="26520"/>
    <n v="1991.03"/>
    <x v="0"/>
    <x v="1"/>
    <n v="7.5076546003016595E-2"/>
  </r>
  <r>
    <s v="ORD-0076"/>
    <x v="36"/>
    <s v="CUST-0016"/>
    <x v="0"/>
    <x v="2"/>
    <x v="15"/>
    <n v="3"/>
    <n v="12000"/>
    <x v="2"/>
    <n v="36000"/>
    <n v="3784.65"/>
    <x v="4"/>
    <x v="0"/>
    <n v="0.10512916666666666"/>
  </r>
  <r>
    <s v="ORD-0077"/>
    <x v="65"/>
    <s v="CUST-0001"/>
    <x v="1"/>
    <x v="3"/>
    <x v="14"/>
    <n v="3"/>
    <n v="1800"/>
    <x v="2"/>
    <n v="5400"/>
    <n v="632"/>
    <x v="3"/>
    <x v="1"/>
    <n v="0.11703703703703704"/>
  </r>
  <r>
    <s v="ORD-0078"/>
    <x v="66"/>
    <s v="CUST-0060"/>
    <x v="2"/>
    <x v="2"/>
    <x v="2"/>
    <n v="1"/>
    <n v="7800"/>
    <x v="4"/>
    <n v="6240"/>
    <n v="286.85000000000002"/>
    <x v="4"/>
    <x v="1"/>
    <n v="4.5969551282051282E-2"/>
  </r>
  <r>
    <s v="ORD-0079"/>
    <x v="67"/>
    <s v="CUST-0019"/>
    <x v="0"/>
    <x v="2"/>
    <x v="11"/>
    <n v="5"/>
    <n v="6500"/>
    <x v="4"/>
    <n v="26000"/>
    <n v="4092.16"/>
    <x v="2"/>
    <x v="0"/>
    <n v="0.15739076923076922"/>
  </r>
  <r>
    <s v="ORD-0080"/>
    <x v="52"/>
    <s v="CUST-0078"/>
    <x v="1"/>
    <x v="0"/>
    <x v="9"/>
    <n v="4"/>
    <n v="220"/>
    <x v="2"/>
    <n v="880"/>
    <n v="154.6"/>
    <x v="2"/>
    <x v="1"/>
    <n v="0.17568181818181819"/>
  </r>
  <r>
    <s v="ORD-0081"/>
    <x v="68"/>
    <s v="CUST-0065"/>
    <x v="0"/>
    <x v="1"/>
    <x v="10"/>
    <n v="6"/>
    <n v="14500"/>
    <x v="4"/>
    <n v="69600"/>
    <n v="7234.2"/>
    <x v="1"/>
    <x v="1"/>
    <n v="0.1039396551724138"/>
  </r>
  <r>
    <s v="ORD-0082"/>
    <x v="69"/>
    <s v="CUST-0011"/>
    <x v="3"/>
    <x v="3"/>
    <x v="14"/>
    <n v="3"/>
    <n v="1800"/>
    <x v="0"/>
    <n v="5130"/>
    <n v="1138.92"/>
    <x v="2"/>
    <x v="1"/>
    <n v="0.22201169590643277"/>
  </r>
  <r>
    <s v="ORD-0083"/>
    <x v="70"/>
    <s v="CUST-0121"/>
    <x v="2"/>
    <x v="3"/>
    <x v="5"/>
    <n v="3"/>
    <n v="2200"/>
    <x v="2"/>
    <n v="6600"/>
    <n v="1433.77"/>
    <x v="3"/>
    <x v="1"/>
    <n v="0.21723787878787879"/>
  </r>
  <r>
    <s v="ORD-0084"/>
    <x v="71"/>
    <s v="CUST-0127"/>
    <x v="2"/>
    <x v="3"/>
    <x v="13"/>
    <n v="4"/>
    <n v="900"/>
    <x v="2"/>
    <n v="3600"/>
    <n v="469.16"/>
    <x v="3"/>
    <x v="0"/>
    <n v="0.13032222222222223"/>
  </r>
  <r>
    <s v="ORD-0085"/>
    <x v="72"/>
    <s v="CUST-0132"/>
    <x v="0"/>
    <x v="3"/>
    <x v="14"/>
    <n v="1"/>
    <n v="1800"/>
    <x v="0"/>
    <n v="1710"/>
    <n v="248.72"/>
    <x v="0"/>
    <x v="1"/>
    <n v="0.14545029239766083"/>
  </r>
  <r>
    <s v="ORD-0086"/>
    <x v="73"/>
    <s v="CUST-0114"/>
    <x v="0"/>
    <x v="2"/>
    <x v="11"/>
    <n v="5"/>
    <n v="6500"/>
    <x v="0"/>
    <n v="30875"/>
    <n v="6512.39"/>
    <x v="2"/>
    <x v="1"/>
    <n v="0.21092761133603241"/>
  </r>
  <r>
    <s v="ORD-0087"/>
    <x v="74"/>
    <s v="CUST-0008"/>
    <x v="3"/>
    <x v="2"/>
    <x v="11"/>
    <n v="5"/>
    <n v="6500"/>
    <x v="2"/>
    <n v="32500"/>
    <n v="5471.71"/>
    <x v="1"/>
    <x v="0"/>
    <n v="0.1683603076923077"/>
  </r>
  <r>
    <s v="ORD-0088"/>
    <x v="75"/>
    <s v="CUST-0119"/>
    <x v="0"/>
    <x v="2"/>
    <x v="2"/>
    <n v="6"/>
    <n v="7800"/>
    <x v="1"/>
    <n v="42120"/>
    <n v="5324.79"/>
    <x v="3"/>
    <x v="1"/>
    <n v="0.12641951566951568"/>
  </r>
  <r>
    <s v="ORD-0089"/>
    <x v="76"/>
    <s v="CUST-0121"/>
    <x v="3"/>
    <x v="3"/>
    <x v="6"/>
    <n v="4"/>
    <n v="700"/>
    <x v="0"/>
    <n v="2660"/>
    <n v="558.6"/>
    <x v="0"/>
    <x v="0"/>
    <n v="0.21000000000000002"/>
  </r>
  <r>
    <s v="ORD-0090"/>
    <x v="77"/>
    <s v="CUST-0071"/>
    <x v="1"/>
    <x v="0"/>
    <x v="7"/>
    <n v="1"/>
    <n v="1600"/>
    <x v="1"/>
    <n v="1440"/>
    <n v="232.08"/>
    <x v="0"/>
    <x v="1"/>
    <n v="0.16116666666666668"/>
  </r>
  <r>
    <s v="ORD-0091"/>
    <x v="78"/>
    <s v="CUST-0115"/>
    <x v="1"/>
    <x v="0"/>
    <x v="7"/>
    <n v="5"/>
    <n v="1600"/>
    <x v="4"/>
    <n v="6400"/>
    <n v="450.26"/>
    <x v="3"/>
    <x v="0"/>
    <n v="7.0353125000000002E-2"/>
  </r>
  <r>
    <s v="ORD-0092"/>
    <x v="3"/>
    <s v="CUST-0062"/>
    <x v="1"/>
    <x v="2"/>
    <x v="2"/>
    <n v="1"/>
    <n v="7800"/>
    <x v="1"/>
    <n v="7020"/>
    <n v="1152.3499999999999"/>
    <x v="2"/>
    <x v="1"/>
    <n v="0.16415242165242164"/>
  </r>
  <r>
    <s v="ORD-0093"/>
    <x v="40"/>
    <s v="CUST-0039"/>
    <x v="1"/>
    <x v="1"/>
    <x v="10"/>
    <n v="5"/>
    <n v="14500"/>
    <x v="4"/>
    <n v="58000"/>
    <n v="3660.91"/>
    <x v="1"/>
    <x v="1"/>
    <n v="6.3119137931034477E-2"/>
  </r>
  <r>
    <s v="ORD-0094"/>
    <x v="6"/>
    <s v="CUST-0135"/>
    <x v="1"/>
    <x v="1"/>
    <x v="10"/>
    <n v="4"/>
    <n v="14500"/>
    <x v="0"/>
    <n v="55100"/>
    <n v="4103.4399999999996"/>
    <x v="3"/>
    <x v="1"/>
    <n v="7.4472595281306703E-2"/>
  </r>
  <r>
    <s v="ORD-0095"/>
    <x v="79"/>
    <s v="CUST-0102"/>
    <x v="0"/>
    <x v="0"/>
    <x v="9"/>
    <n v="3"/>
    <n v="220"/>
    <x v="3"/>
    <n v="561"/>
    <n v="93.73"/>
    <x v="1"/>
    <x v="0"/>
    <n v="0.16707664884135473"/>
  </r>
  <r>
    <s v="ORD-0096"/>
    <x v="80"/>
    <s v="CUST-0074"/>
    <x v="3"/>
    <x v="1"/>
    <x v="3"/>
    <n v="1"/>
    <n v="2500"/>
    <x v="2"/>
    <n v="2500"/>
    <n v="377.47"/>
    <x v="3"/>
    <x v="0"/>
    <n v="0.15098800000000001"/>
  </r>
  <r>
    <s v="ORD-0097"/>
    <x v="81"/>
    <s v="CUST-0084"/>
    <x v="0"/>
    <x v="0"/>
    <x v="7"/>
    <n v="3"/>
    <n v="1600"/>
    <x v="3"/>
    <n v="4080"/>
    <n v="207.23"/>
    <x v="0"/>
    <x v="1"/>
    <n v="5.0791666666666666E-2"/>
  </r>
  <r>
    <s v="ORD-0098"/>
    <x v="82"/>
    <s v="CUST-0047"/>
    <x v="3"/>
    <x v="2"/>
    <x v="4"/>
    <n v="5"/>
    <n v="8500"/>
    <x v="3"/>
    <n v="36125"/>
    <n v="4575.3599999999997"/>
    <x v="4"/>
    <x v="1"/>
    <n v="0.12665356401384081"/>
  </r>
  <r>
    <s v="ORD-0099"/>
    <x v="83"/>
    <s v="CUST-0037"/>
    <x v="3"/>
    <x v="3"/>
    <x v="5"/>
    <n v="4"/>
    <n v="2200"/>
    <x v="1"/>
    <n v="7920"/>
    <n v="1201.42"/>
    <x v="2"/>
    <x v="1"/>
    <n v="0.15169444444444447"/>
  </r>
  <r>
    <s v="ORD-0100"/>
    <x v="84"/>
    <s v="CUST-0140"/>
    <x v="3"/>
    <x v="1"/>
    <x v="3"/>
    <n v="3"/>
    <n v="2500"/>
    <x v="4"/>
    <n v="6000"/>
    <n v="347.19"/>
    <x v="2"/>
    <x v="1"/>
    <n v="5.7865E-2"/>
  </r>
  <r>
    <s v="ORD-0101"/>
    <x v="85"/>
    <s v="CUST-0078"/>
    <x v="3"/>
    <x v="3"/>
    <x v="14"/>
    <n v="1"/>
    <n v="1800"/>
    <x v="0"/>
    <n v="1710"/>
    <n v="211.22"/>
    <x v="3"/>
    <x v="1"/>
    <n v="0.12352046783625731"/>
  </r>
  <r>
    <s v="ORD-0102"/>
    <x v="86"/>
    <s v="CUST-0076"/>
    <x v="0"/>
    <x v="3"/>
    <x v="5"/>
    <n v="1"/>
    <n v="2200"/>
    <x v="4"/>
    <n v="1760"/>
    <n v="261.2"/>
    <x v="1"/>
    <x v="1"/>
    <n v="0.14840909090909091"/>
  </r>
  <r>
    <s v="ORD-0103"/>
    <x v="87"/>
    <s v="CUST-0059"/>
    <x v="2"/>
    <x v="2"/>
    <x v="15"/>
    <n v="5"/>
    <n v="12000"/>
    <x v="1"/>
    <n v="54000"/>
    <n v="8285.8799999999992"/>
    <x v="4"/>
    <x v="0"/>
    <n v="0.1534422222222222"/>
  </r>
  <r>
    <s v="ORD-0104"/>
    <x v="88"/>
    <s v="CUST-0011"/>
    <x v="2"/>
    <x v="3"/>
    <x v="13"/>
    <n v="5"/>
    <n v="900"/>
    <x v="1"/>
    <n v="4050"/>
    <n v="656.82"/>
    <x v="1"/>
    <x v="1"/>
    <n v="0.16217777777777778"/>
  </r>
  <r>
    <s v="ORD-0105"/>
    <x v="89"/>
    <s v="CUST-0107"/>
    <x v="3"/>
    <x v="2"/>
    <x v="15"/>
    <n v="5"/>
    <n v="12000"/>
    <x v="1"/>
    <n v="54000"/>
    <n v="7016.56"/>
    <x v="3"/>
    <x v="0"/>
    <n v="0.1299362962962963"/>
  </r>
  <r>
    <s v="ORD-0106"/>
    <x v="90"/>
    <s v="CUST-0124"/>
    <x v="2"/>
    <x v="0"/>
    <x v="12"/>
    <n v="4"/>
    <n v="450"/>
    <x v="2"/>
    <n v="1800"/>
    <n v="184.54"/>
    <x v="4"/>
    <x v="1"/>
    <n v="0.10252222222222222"/>
  </r>
  <r>
    <s v="ORD-0107"/>
    <x v="91"/>
    <s v="CUST-0094"/>
    <x v="0"/>
    <x v="3"/>
    <x v="13"/>
    <n v="3"/>
    <n v="900"/>
    <x v="4"/>
    <n v="2160"/>
    <n v="64.8"/>
    <x v="3"/>
    <x v="1"/>
    <n v="0.03"/>
  </r>
  <r>
    <s v="ORD-0108"/>
    <x v="10"/>
    <s v="CUST-0098"/>
    <x v="2"/>
    <x v="1"/>
    <x v="10"/>
    <n v="4"/>
    <n v="14500"/>
    <x v="2"/>
    <n v="58000"/>
    <n v="10389.39"/>
    <x v="0"/>
    <x v="1"/>
    <n v="0.17912741379310343"/>
  </r>
  <r>
    <s v="ORD-0109"/>
    <x v="92"/>
    <s v="CUST-0057"/>
    <x v="0"/>
    <x v="3"/>
    <x v="5"/>
    <n v="6"/>
    <n v="2200"/>
    <x v="3"/>
    <n v="11220"/>
    <n v="518.01"/>
    <x v="1"/>
    <x v="0"/>
    <n v="4.6168449197860964E-2"/>
  </r>
  <r>
    <s v="ORD-0110"/>
    <x v="93"/>
    <s v="CUST-0127"/>
    <x v="0"/>
    <x v="1"/>
    <x v="10"/>
    <n v="5"/>
    <n v="14500"/>
    <x v="0"/>
    <n v="68875"/>
    <n v="8587.56"/>
    <x v="3"/>
    <x v="1"/>
    <n v="0.1246832667876588"/>
  </r>
  <r>
    <s v="ORD-0111"/>
    <x v="94"/>
    <s v="CUST-0040"/>
    <x v="1"/>
    <x v="1"/>
    <x v="3"/>
    <n v="5"/>
    <n v="2500"/>
    <x v="3"/>
    <n v="10625"/>
    <n v="1888.58"/>
    <x v="3"/>
    <x v="0"/>
    <n v="0.17774870588235295"/>
  </r>
  <r>
    <s v="ORD-0112"/>
    <x v="33"/>
    <s v="CUST-0095"/>
    <x v="3"/>
    <x v="3"/>
    <x v="14"/>
    <n v="2"/>
    <n v="1800"/>
    <x v="1"/>
    <n v="3240"/>
    <n v="197.31"/>
    <x v="3"/>
    <x v="1"/>
    <n v="6.0898148148148146E-2"/>
  </r>
  <r>
    <s v="ORD-0113"/>
    <x v="95"/>
    <s v="CUST-0102"/>
    <x v="2"/>
    <x v="2"/>
    <x v="4"/>
    <n v="4"/>
    <n v="8500"/>
    <x v="2"/>
    <n v="34000"/>
    <n v="6325.46"/>
    <x v="0"/>
    <x v="0"/>
    <n v="0.18604294117647058"/>
  </r>
  <r>
    <s v="ORD-0114"/>
    <x v="23"/>
    <s v="CUST-0086"/>
    <x v="3"/>
    <x v="2"/>
    <x v="15"/>
    <n v="1"/>
    <n v="12000"/>
    <x v="4"/>
    <n v="9600"/>
    <n v="414.19"/>
    <x v="4"/>
    <x v="0"/>
    <n v="4.3144791666666668E-2"/>
  </r>
  <r>
    <s v="ORD-0115"/>
    <x v="96"/>
    <s v="CUST-0038"/>
    <x v="0"/>
    <x v="0"/>
    <x v="0"/>
    <n v="2"/>
    <n v="120"/>
    <x v="4"/>
    <n v="192"/>
    <n v="9.6199999999999992"/>
    <x v="4"/>
    <x v="0"/>
    <n v="5.0104166666666665E-2"/>
  </r>
  <r>
    <s v="ORD-0116"/>
    <x v="97"/>
    <s v="CUST-0007"/>
    <x v="3"/>
    <x v="1"/>
    <x v="8"/>
    <n v="2"/>
    <n v="1800"/>
    <x v="4"/>
    <n v="2880"/>
    <n v="177.99"/>
    <x v="4"/>
    <x v="1"/>
    <n v="6.1802083333333334E-2"/>
  </r>
  <r>
    <s v="ORD-0117"/>
    <x v="98"/>
    <s v="CUST-0033"/>
    <x v="1"/>
    <x v="1"/>
    <x v="1"/>
    <n v="4"/>
    <n v="52000"/>
    <x v="3"/>
    <n v="176800"/>
    <n v="26870.55"/>
    <x v="0"/>
    <x v="0"/>
    <n v="0.15198274886877827"/>
  </r>
  <r>
    <s v="ORD-0118"/>
    <x v="99"/>
    <s v="CUST-0129"/>
    <x v="3"/>
    <x v="1"/>
    <x v="8"/>
    <n v="4"/>
    <n v="1800"/>
    <x v="2"/>
    <n v="7200"/>
    <n v="646.07000000000005"/>
    <x v="2"/>
    <x v="1"/>
    <n v="8.9731944444444448E-2"/>
  </r>
  <r>
    <s v="ORD-0119"/>
    <x v="100"/>
    <s v="CUST-0028"/>
    <x v="1"/>
    <x v="3"/>
    <x v="13"/>
    <n v="1"/>
    <n v="900"/>
    <x v="1"/>
    <n v="810"/>
    <n v="115.29"/>
    <x v="1"/>
    <x v="0"/>
    <n v="0.14233333333333334"/>
  </r>
  <r>
    <s v="ORD-0120"/>
    <x v="61"/>
    <s v="CUST-0084"/>
    <x v="1"/>
    <x v="0"/>
    <x v="9"/>
    <n v="5"/>
    <n v="220"/>
    <x v="4"/>
    <n v="880"/>
    <n v="69.37"/>
    <x v="1"/>
    <x v="0"/>
    <n v="7.8829545454545458E-2"/>
  </r>
  <r>
    <s v="ORD-0121"/>
    <x v="101"/>
    <s v="CUST-0116"/>
    <x v="3"/>
    <x v="3"/>
    <x v="5"/>
    <n v="4"/>
    <n v="2200"/>
    <x v="3"/>
    <n v="7480"/>
    <n v="703.56"/>
    <x v="1"/>
    <x v="1"/>
    <n v="9.4058823529411764E-2"/>
  </r>
  <r>
    <s v="ORD-0122"/>
    <x v="100"/>
    <s v="CUST-0081"/>
    <x v="2"/>
    <x v="0"/>
    <x v="0"/>
    <n v="6"/>
    <n v="120"/>
    <x v="3"/>
    <n v="612"/>
    <n v="23.4"/>
    <x v="1"/>
    <x v="0"/>
    <n v="3.8235294117647055E-2"/>
  </r>
  <r>
    <s v="ORD-0123"/>
    <x v="102"/>
    <s v="CUST-0025"/>
    <x v="2"/>
    <x v="2"/>
    <x v="4"/>
    <n v="5"/>
    <n v="8500"/>
    <x v="4"/>
    <n v="34000"/>
    <n v="3395.56"/>
    <x v="1"/>
    <x v="1"/>
    <n v="9.9869411764705887E-2"/>
  </r>
  <r>
    <s v="ORD-0124"/>
    <x v="103"/>
    <s v="CUST-0109"/>
    <x v="0"/>
    <x v="0"/>
    <x v="7"/>
    <n v="3"/>
    <n v="1600"/>
    <x v="2"/>
    <n v="4800"/>
    <n v="827.84"/>
    <x v="4"/>
    <x v="0"/>
    <n v="0.17246666666666668"/>
  </r>
  <r>
    <s v="ORD-0125"/>
    <x v="104"/>
    <s v="CUST-0124"/>
    <x v="3"/>
    <x v="1"/>
    <x v="8"/>
    <n v="5"/>
    <n v="1800"/>
    <x v="1"/>
    <n v="8100"/>
    <n v="513.39"/>
    <x v="3"/>
    <x v="0"/>
    <n v="6.3381481481481483E-2"/>
  </r>
  <r>
    <s v="ORD-0126"/>
    <x v="105"/>
    <s v="CUST-0007"/>
    <x v="2"/>
    <x v="1"/>
    <x v="10"/>
    <n v="3"/>
    <n v="14500"/>
    <x v="1"/>
    <n v="39150"/>
    <n v="7534.26"/>
    <x v="3"/>
    <x v="0"/>
    <n v="0.19244597701149427"/>
  </r>
  <r>
    <s v="ORD-0351"/>
    <x v="106"/>
    <s v="CUST-0037"/>
    <x v="1"/>
    <x v="1"/>
    <x v="10"/>
    <n v="6"/>
    <n v="14500"/>
    <x v="2"/>
    <n v="87000"/>
    <n v="8237.27"/>
    <x v="0"/>
    <x v="0"/>
    <n v="9.4681264367816098E-2"/>
  </r>
  <r>
    <s v="ORD-0128"/>
    <x v="107"/>
    <s v="CUST-0108"/>
    <x v="1"/>
    <x v="0"/>
    <x v="0"/>
    <n v="3"/>
    <n v="120"/>
    <x v="1"/>
    <n v="324"/>
    <n v="51.99"/>
    <x v="0"/>
    <x v="0"/>
    <n v="0.16046296296296297"/>
  </r>
  <r>
    <s v="ORD-0129"/>
    <x v="98"/>
    <s v="CUST-0040"/>
    <x v="3"/>
    <x v="1"/>
    <x v="1"/>
    <n v="3"/>
    <n v="52000"/>
    <x v="3"/>
    <n v="132600"/>
    <n v="17690.189999999999"/>
    <x v="2"/>
    <x v="1"/>
    <n v="0.13341018099547511"/>
  </r>
  <r>
    <s v="ORD-0130"/>
    <x v="108"/>
    <s v="CUST-0070"/>
    <x v="3"/>
    <x v="1"/>
    <x v="8"/>
    <n v="4"/>
    <n v="1800"/>
    <x v="2"/>
    <n v="7200"/>
    <n v="902.3"/>
    <x v="0"/>
    <x v="1"/>
    <n v="0.12531944444444443"/>
  </r>
  <r>
    <s v="ORD-0131"/>
    <x v="109"/>
    <s v="CUST-0079"/>
    <x v="0"/>
    <x v="2"/>
    <x v="2"/>
    <n v="5"/>
    <n v="7800"/>
    <x v="2"/>
    <n v="39000"/>
    <n v="3167.97"/>
    <x v="3"/>
    <x v="0"/>
    <n v="8.1229999999999997E-2"/>
  </r>
  <r>
    <s v="ORD-0132"/>
    <x v="110"/>
    <s v="CUST-0066"/>
    <x v="2"/>
    <x v="0"/>
    <x v="12"/>
    <n v="1"/>
    <n v="450"/>
    <x v="3"/>
    <n v="382.5"/>
    <n v="56.24"/>
    <x v="4"/>
    <x v="0"/>
    <n v="0.1470326797385621"/>
  </r>
  <r>
    <s v="ORD-0133"/>
    <x v="111"/>
    <s v="CUST-0137"/>
    <x v="3"/>
    <x v="0"/>
    <x v="12"/>
    <n v="4"/>
    <n v="450"/>
    <x v="2"/>
    <n v="1800"/>
    <n v="269.63"/>
    <x v="2"/>
    <x v="0"/>
    <n v="0.14979444444444445"/>
  </r>
  <r>
    <s v="ORD-0134"/>
    <x v="112"/>
    <s v="CUST-0110"/>
    <x v="1"/>
    <x v="3"/>
    <x v="5"/>
    <n v="1"/>
    <n v="2200"/>
    <x v="3"/>
    <n v="1870"/>
    <n v="57.67"/>
    <x v="3"/>
    <x v="0"/>
    <n v="3.0839572192513369E-2"/>
  </r>
  <r>
    <s v="ORD-0135"/>
    <x v="113"/>
    <s v="CUST-0118"/>
    <x v="2"/>
    <x v="1"/>
    <x v="3"/>
    <n v="1"/>
    <n v="2500"/>
    <x v="0"/>
    <n v="2375"/>
    <n v="313.99"/>
    <x v="2"/>
    <x v="0"/>
    <n v="0.1322063157894737"/>
  </r>
  <r>
    <s v="ORD-0136"/>
    <x v="114"/>
    <s v="CUST-0080"/>
    <x v="2"/>
    <x v="2"/>
    <x v="11"/>
    <n v="2"/>
    <n v="6500"/>
    <x v="2"/>
    <n v="13000"/>
    <n v="2101.81"/>
    <x v="1"/>
    <x v="0"/>
    <n v="0.1616776923076923"/>
  </r>
  <r>
    <s v="ORD-0137"/>
    <x v="115"/>
    <s v="CUST-0090"/>
    <x v="3"/>
    <x v="2"/>
    <x v="4"/>
    <n v="2"/>
    <n v="8500"/>
    <x v="1"/>
    <n v="15300"/>
    <n v="1171.42"/>
    <x v="0"/>
    <x v="0"/>
    <n v="7.6563398692810467E-2"/>
  </r>
  <r>
    <s v="ORD-0138"/>
    <x v="116"/>
    <s v="CUST-0020"/>
    <x v="3"/>
    <x v="3"/>
    <x v="14"/>
    <n v="5"/>
    <n v="1800"/>
    <x v="4"/>
    <n v="7200"/>
    <n v="589.14"/>
    <x v="0"/>
    <x v="1"/>
    <n v="8.1824999999999995E-2"/>
  </r>
  <r>
    <s v="ORD-0139"/>
    <x v="88"/>
    <s v="CUST-0081"/>
    <x v="3"/>
    <x v="3"/>
    <x v="13"/>
    <n v="4"/>
    <n v="900"/>
    <x v="3"/>
    <n v="3060"/>
    <n v="393.28"/>
    <x v="3"/>
    <x v="0"/>
    <n v="0.12852287581699345"/>
  </r>
  <r>
    <s v="ORD-0140"/>
    <x v="117"/>
    <s v="CUST-0130"/>
    <x v="0"/>
    <x v="0"/>
    <x v="9"/>
    <n v="4"/>
    <n v="220"/>
    <x v="2"/>
    <n v="880"/>
    <n v="78.41"/>
    <x v="3"/>
    <x v="0"/>
    <n v="8.9102272727272724E-2"/>
  </r>
  <r>
    <s v="ORD-0141"/>
    <x v="118"/>
    <s v="CUST-0024"/>
    <x v="1"/>
    <x v="3"/>
    <x v="13"/>
    <n v="4"/>
    <n v="900"/>
    <x v="4"/>
    <n v="2880"/>
    <n v="329.17"/>
    <x v="3"/>
    <x v="1"/>
    <n v="0.1142951388888889"/>
  </r>
  <r>
    <s v="ORD-0142"/>
    <x v="119"/>
    <s v="CUST-0039"/>
    <x v="0"/>
    <x v="3"/>
    <x v="13"/>
    <n v="3"/>
    <n v="900"/>
    <x v="2"/>
    <n v="2700"/>
    <n v="433.97"/>
    <x v="4"/>
    <x v="0"/>
    <n v="0.16072962962962964"/>
  </r>
  <r>
    <s v="ORD-0143"/>
    <x v="120"/>
    <s v="CUST-0113"/>
    <x v="1"/>
    <x v="2"/>
    <x v="11"/>
    <n v="3"/>
    <n v="6500"/>
    <x v="1"/>
    <n v="17550"/>
    <n v="1877.62"/>
    <x v="3"/>
    <x v="0"/>
    <n v="0.10698689458689459"/>
  </r>
  <r>
    <s v="ORD-0144"/>
    <x v="121"/>
    <s v="CUST-0086"/>
    <x v="0"/>
    <x v="0"/>
    <x v="12"/>
    <n v="5"/>
    <n v="450"/>
    <x v="3"/>
    <n v="1912.5"/>
    <n v="139.54"/>
    <x v="0"/>
    <x v="0"/>
    <n v="7.2962091503267976E-2"/>
  </r>
  <r>
    <s v="ORD-0145"/>
    <x v="32"/>
    <s v="CUST-0021"/>
    <x v="3"/>
    <x v="0"/>
    <x v="7"/>
    <n v="6"/>
    <n v="1600"/>
    <x v="3"/>
    <n v="8160"/>
    <n v="392.76"/>
    <x v="1"/>
    <x v="1"/>
    <n v="4.8132352941176466E-2"/>
  </r>
  <r>
    <s v="ORD-0146"/>
    <x v="122"/>
    <s v="CUST-0097"/>
    <x v="2"/>
    <x v="2"/>
    <x v="4"/>
    <n v="6"/>
    <n v="8500"/>
    <x v="3"/>
    <n v="43350"/>
    <n v="4719"/>
    <x v="1"/>
    <x v="1"/>
    <n v="0.10885813148788927"/>
  </r>
  <r>
    <s v="ORD-0147"/>
    <x v="123"/>
    <s v="CUST-0047"/>
    <x v="3"/>
    <x v="0"/>
    <x v="9"/>
    <n v="2"/>
    <n v="220"/>
    <x v="0"/>
    <n v="418"/>
    <n v="93"/>
    <x v="4"/>
    <x v="0"/>
    <n v="0.22248803827751196"/>
  </r>
  <r>
    <s v="ORD-0148"/>
    <x v="124"/>
    <s v="CUST-0026"/>
    <x v="0"/>
    <x v="0"/>
    <x v="0"/>
    <n v="5"/>
    <n v="120"/>
    <x v="3"/>
    <n v="510"/>
    <n v="26.61"/>
    <x v="4"/>
    <x v="0"/>
    <n v="5.2176470588235296E-2"/>
  </r>
  <r>
    <s v="ORD-0149"/>
    <x v="17"/>
    <s v="CUST-0012"/>
    <x v="1"/>
    <x v="0"/>
    <x v="0"/>
    <n v="4"/>
    <n v="120"/>
    <x v="4"/>
    <n v="384"/>
    <n v="21.35"/>
    <x v="2"/>
    <x v="0"/>
    <n v="5.5598958333333337E-2"/>
  </r>
  <r>
    <s v="ORD-0150"/>
    <x v="125"/>
    <s v="CUST-0062"/>
    <x v="2"/>
    <x v="3"/>
    <x v="6"/>
    <n v="3"/>
    <n v="700"/>
    <x v="4"/>
    <n v="1680"/>
    <n v="281.42"/>
    <x v="2"/>
    <x v="1"/>
    <n v="0.16751190476190478"/>
  </r>
  <r>
    <s v="ORD-0151"/>
    <x v="126"/>
    <s v="CUST-0129"/>
    <x v="1"/>
    <x v="2"/>
    <x v="15"/>
    <n v="5"/>
    <n v="12000"/>
    <x v="0"/>
    <n v="57000"/>
    <n v="11524.28"/>
    <x v="1"/>
    <x v="1"/>
    <n v="0.20218035087719299"/>
  </r>
  <r>
    <s v="ORD-0152"/>
    <x v="127"/>
    <s v="CUST-0027"/>
    <x v="0"/>
    <x v="0"/>
    <x v="12"/>
    <n v="2"/>
    <n v="450"/>
    <x v="1"/>
    <n v="810"/>
    <n v="94.68"/>
    <x v="0"/>
    <x v="0"/>
    <n v="0.1168888888888889"/>
  </r>
  <r>
    <s v="ORD-0153"/>
    <x v="128"/>
    <s v="CUST-0024"/>
    <x v="3"/>
    <x v="3"/>
    <x v="5"/>
    <n v="1"/>
    <n v="2200"/>
    <x v="3"/>
    <n v="1870"/>
    <n v="67.36"/>
    <x v="0"/>
    <x v="1"/>
    <n v="3.6021390374331552E-2"/>
  </r>
  <r>
    <s v="ORD-0154"/>
    <x v="80"/>
    <s v="CUST-0099"/>
    <x v="0"/>
    <x v="0"/>
    <x v="0"/>
    <n v="1"/>
    <n v="120"/>
    <x v="1"/>
    <n v="108"/>
    <n v="20.94"/>
    <x v="3"/>
    <x v="0"/>
    <n v="0.19388888888888889"/>
  </r>
  <r>
    <s v="ORD-0155"/>
    <x v="110"/>
    <s v="CUST-0010"/>
    <x v="2"/>
    <x v="3"/>
    <x v="6"/>
    <n v="6"/>
    <n v="700"/>
    <x v="3"/>
    <n v="3570"/>
    <n v="354.42"/>
    <x v="1"/>
    <x v="0"/>
    <n v="9.9277310924369755E-2"/>
  </r>
  <r>
    <s v="ORD-0156"/>
    <x v="129"/>
    <s v="CUST-0066"/>
    <x v="3"/>
    <x v="2"/>
    <x v="2"/>
    <n v="1"/>
    <n v="7800"/>
    <x v="1"/>
    <n v="7020"/>
    <n v="582.82000000000005"/>
    <x v="1"/>
    <x v="0"/>
    <n v="8.302279202279203E-2"/>
  </r>
  <r>
    <s v="ORD-0157"/>
    <x v="130"/>
    <s v="CUST-0108"/>
    <x v="1"/>
    <x v="1"/>
    <x v="1"/>
    <n v="4"/>
    <n v="52000"/>
    <x v="4"/>
    <n v="166400"/>
    <n v="15935.9"/>
    <x v="0"/>
    <x v="0"/>
    <n v="9.576862980769231E-2"/>
  </r>
  <r>
    <s v="ORD-0158"/>
    <x v="131"/>
    <s v="CUST-0075"/>
    <x v="1"/>
    <x v="1"/>
    <x v="8"/>
    <n v="2"/>
    <n v="1800"/>
    <x v="4"/>
    <n v="2880"/>
    <n v="220.75"/>
    <x v="1"/>
    <x v="1"/>
    <n v="7.6649305555555561E-2"/>
  </r>
  <r>
    <s v="ORD-0159"/>
    <x v="132"/>
    <s v="CUST-0135"/>
    <x v="0"/>
    <x v="3"/>
    <x v="14"/>
    <n v="1"/>
    <n v="1800"/>
    <x v="3"/>
    <n v="1530"/>
    <n v="282.23"/>
    <x v="3"/>
    <x v="0"/>
    <n v="0.1844640522875817"/>
  </r>
  <r>
    <s v="ORD-0160"/>
    <x v="133"/>
    <s v="CUST-0018"/>
    <x v="2"/>
    <x v="2"/>
    <x v="4"/>
    <n v="5"/>
    <n v="8500"/>
    <x v="1"/>
    <n v="38250"/>
    <n v="2537.7199999999998"/>
    <x v="3"/>
    <x v="1"/>
    <n v="6.6345620915032669E-2"/>
  </r>
  <r>
    <s v="ORD-0161"/>
    <x v="134"/>
    <s v="CUST-0045"/>
    <x v="1"/>
    <x v="3"/>
    <x v="6"/>
    <n v="2"/>
    <n v="700"/>
    <x v="2"/>
    <n v="1400"/>
    <n v="272.39"/>
    <x v="2"/>
    <x v="0"/>
    <n v="0.19456428571428572"/>
  </r>
  <r>
    <s v="ORD-0162"/>
    <x v="135"/>
    <s v="CUST-0052"/>
    <x v="0"/>
    <x v="2"/>
    <x v="4"/>
    <n v="3"/>
    <n v="8500"/>
    <x v="1"/>
    <n v="22950"/>
    <n v="2925.24"/>
    <x v="0"/>
    <x v="1"/>
    <n v="0.12746143790849673"/>
  </r>
  <r>
    <s v="ORD-0163"/>
    <x v="136"/>
    <s v="CUST-0010"/>
    <x v="3"/>
    <x v="0"/>
    <x v="7"/>
    <n v="1"/>
    <n v="1600"/>
    <x v="1"/>
    <n v="1440"/>
    <n v="127.75"/>
    <x v="3"/>
    <x v="1"/>
    <n v="8.8715277777777782E-2"/>
  </r>
  <r>
    <s v="ORD-0164"/>
    <x v="137"/>
    <s v="CUST-0113"/>
    <x v="1"/>
    <x v="0"/>
    <x v="0"/>
    <n v="4"/>
    <n v="120"/>
    <x v="3"/>
    <n v="408"/>
    <n v="35.200000000000003"/>
    <x v="0"/>
    <x v="1"/>
    <n v="8.6274509803921581E-2"/>
  </r>
  <r>
    <s v="ORD-0165"/>
    <x v="138"/>
    <s v="CUST-0109"/>
    <x v="0"/>
    <x v="3"/>
    <x v="6"/>
    <n v="5"/>
    <n v="700"/>
    <x v="1"/>
    <n v="3150"/>
    <n v="303.64"/>
    <x v="1"/>
    <x v="1"/>
    <n v="9.6393650793650795E-2"/>
  </r>
  <r>
    <s v="ORD-0166"/>
    <x v="97"/>
    <s v="CUST-0076"/>
    <x v="2"/>
    <x v="3"/>
    <x v="14"/>
    <n v="2"/>
    <n v="1800"/>
    <x v="3"/>
    <n v="3060"/>
    <n v="256.27"/>
    <x v="1"/>
    <x v="1"/>
    <n v="8.3748366013071895E-2"/>
  </r>
  <r>
    <s v="ORD-0167"/>
    <x v="139"/>
    <s v="CUST-0112"/>
    <x v="2"/>
    <x v="1"/>
    <x v="1"/>
    <n v="6"/>
    <n v="52000"/>
    <x v="3"/>
    <n v="265200"/>
    <n v="22709.02"/>
    <x v="4"/>
    <x v="0"/>
    <n v="8.5629788838612372E-2"/>
  </r>
  <r>
    <s v="ORD-0168"/>
    <x v="131"/>
    <s v="CUST-0113"/>
    <x v="0"/>
    <x v="2"/>
    <x v="4"/>
    <n v="2"/>
    <n v="8500"/>
    <x v="1"/>
    <n v="15300"/>
    <n v="1575.04"/>
    <x v="0"/>
    <x v="0"/>
    <n v="0.1029437908496732"/>
  </r>
  <r>
    <s v="ORD-0169"/>
    <x v="68"/>
    <s v="CUST-0040"/>
    <x v="1"/>
    <x v="0"/>
    <x v="7"/>
    <n v="4"/>
    <n v="1600"/>
    <x v="2"/>
    <n v="6400"/>
    <n v="1099.7"/>
    <x v="0"/>
    <x v="1"/>
    <n v="0.171828125"/>
  </r>
  <r>
    <s v="ORD-0170"/>
    <x v="140"/>
    <s v="CUST-0081"/>
    <x v="2"/>
    <x v="2"/>
    <x v="4"/>
    <n v="1"/>
    <n v="8500"/>
    <x v="0"/>
    <n v="8075"/>
    <n v="1149.45"/>
    <x v="2"/>
    <x v="0"/>
    <n v="0.14234674922600621"/>
  </r>
  <r>
    <s v="ORD-0171"/>
    <x v="13"/>
    <s v="CUST-0067"/>
    <x v="1"/>
    <x v="2"/>
    <x v="11"/>
    <n v="6"/>
    <n v="6500"/>
    <x v="3"/>
    <n v="33150"/>
    <n v="1973.37"/>
    <x v="4"/>
    <x v="0"/>
    <n v="5.9528506787330314E-2"/>
  </r>
  <r>
    <s v="ORD-0172"/>
    <x v="99"/>
    <s v="CUST-0045"/>
    <x v="1"/>
    <x v="1"/>
    <x v="8"/>
    <n v="6"/>
    <n v="1800"/>
    <x v="1"/>
    <n v="9720"/>
    <n v="1540.88"/>
    <x v="0"/>
    <x v="1"/>
    <n v="0.15852674897119343"/>
  </r>
  <r>
    <s v="ORD-0173"/>
    <x v="141"/>
    <s v="CUST-0041"/>
    <x v="3"/>
    <x v="0"/>
    <x v="0"/>
    <n v="1"/>
    <n v="120"/>
    <x v="0"/>
    <n v="114"/>
    <n v="21.57"/>
    <x v="4"/>
    <x v="1"/>
    <n v="0.18921052631578947"/>
  </r>
  <r>
    <s v="ORD-0174"/>
    <x v="142"/>
    <s v="CUST-0093"/>
    <x v="2"/>
    <x v="3"/>
    <x v="6"/>
    <n v="5"/>
    <n v="700"/>
    <x v="2"/>
    <n v="3500"/>
    <n v="316.82"/>
    <x v="2"/>
    <x v="1"/>
    <n v="9.0520000000000003E-2"/>
  </r>
  <r>
    <s v="ORD-0175"/>
    <x v="109"/>
    <s v="CUST-0106"/>
    <x v="1"/>
    <x v="1"/>
    <x v="10"/>
    <n v="3"/>
    <n v="14500"/>
    <x v="2"/>
    <n v="43500"/>
    <n v="6611.82"/>
    <x v="0"/>
    <x v="1"/>
    <n v="0.15199586206896551"/>
  </r>
  <r>
    <s v="ORD-0176"/>
    <x v="143"/>
    <s v="CUST-0047"/>
    <x v="3"/>
    <x v="3"/>
    <x v="13"/>
    <n v="1"/>
    <n v="900"/>
    <x v="4"/>
    <n v="720"/>
    <n v="24.83"/>
    <x v="4"/>
    <x v="0"/>
    <n v="3.4486111111111106E-2"/>
  </r>
  <r>
    <s v="ORD-0177"/>
    <x v="144"/>
    <s v="CUST-0058"/>
    <x v="2"/>
    <x v="0"/>
    <x v="12"/>
    <n v="3"/>
    <n v="450"/>
    <x v="0"/>
    <n v="1282.5"/>
    <n v="210.47"/>
    <x v="0"/>
    <x v="1"/>
    <n v="0.16410916179337232"/>
  </r>
  <r>
    <s v="ORD-0178"/>
    <x v="145"/>
    <s v="CUST-0078"/>
    <x v="0"/>
    <x v="2"/>
    <x v="15"/>
    <n v="2"/>
    <n v="12000"/>
    <x v="4"/>
    <n v="19200"/>
    <n v="2405.7800000000002"/>
    <x v="0"/>
    <x v="1"/>
    <n v="0.12530104166666667"/>
  </r>
  <r>
    <s v="ORD-0179"/>
    <x v="146"/>
    <s v="CUST-0011"/>
    <x v="0"/>
    <x v="1"/>
    <x v="1"/>
    <n v="6"/>
    <n v="52000"/>
    <x v="4"/>
    <n v="249600"/>
    <n v="13065.3"/>
    <x v="4"/>
    <x v="1"/>
    <n v="5.2344951923076921E-2"/>
  </r>
  <r>
    <s v="ORD-0180"/>
    <x v="113"/>
    <s v="CUST-0008"/>
    <x v="1"/>
    <x v="0"/>
    <x v="7"/>
    <n v="4"/>
    <n v="1600"/>
    <x v="0"/>
    <n v="6080"/>
    <n v="1162.8"/>
    <x v="2"/>
    <x v="1"/>
    <n v="0.19125"/>
  </r>
  <r>
    <s v="ORD-0181"/>
    <x v="147"/>
    <s v="CUST-0019"/>
    <x v="0"/>
    <x v="2"/>
    <x v="2"/>
    <n v="4"/>
    <n v="7800"/>
    <x v="3"/>
    <n v="26520"/>
    <n v="2700.02"/>
    <x v="3"/>
    <x v="0"/>
    <n v="0.1018107088989442"/>
  </r>
  <r>
    <s v="ORD-0182"/>
    <x v="112"/>
    <s v="CUST-0082"/>
    <x v="2"/>
    <x v="3"/>
    <x v="6"/>
    <n v="3"/>
    <n v="700"/>
    <x v="4"/>
    <n v="1680"/>
    <n v="167.77"/>
    <x v="3"/>
    <x v="0"/>
    <n v="9.9863095238095251E-2"/>
  </r>
  <r>
    <s v="ORD-0183"/>
    <x v="148"/>
    <s v="CUST-0032"/>
    <x v="2"/>
    <x v="3"/>
    <x v="6"/>
    <n v="2"/>
    <n v="700"/>
    <x v="2"/>
    <n v="1400"/>
    <n v="123.34"/>
    <x v="2"/>
    <x v="1"/>
    <n v="8.8099999999999998E-2"/>
  </r>
  <r>
    <s v="ORD-0184"/>
    <x v="64"/>
    <s v="CUST-0041"/>
    <x v="2"/>
    <x v="0"/>
    <x v="0"/>
    <n v="2"/>
    <n v="120"/>
    <x v="3"/>
    <n v="204"/>
    <n v="38.119999999999997"/>
    <x v="2"/>
    <x v="1"/>
    <n v="0.18686274509803921"/>
  </r>
  <r>
    <s v="ORD-0185"/>
    <x v="149"/>
    <s v="CUST-0128"/>
    <x v="0"/>
    <x v="1"/>
    <x v="3"/>
    <n v="5"/>
    <n v="2500"/>
    <x v="3"/>
    <n v="10625"/>
    <n v="1935.55"/>
    <x v="4"/>
    <x v="1"/>
    <n v="0.18216941176470589"/>
  </r>
  <r>
    <s v="ORD-0186"/>
    <x v="150"/>
    <s v="CUST-0013"/>
    <x v="2"/>
    <x v="3"/>
    <x v="14"/>
    <n v="3"/>
    <n v="1800"/>
    <x v="4"/>
    <n v="4320"/>
    <n v="129.6"/>
    <x v="1"/>
    <x v="1"/>
    <n v="0.03"/>
  </r>
  <r>
    <s v="ORD-0187"/>
    <x v="151"/>
    <s v="CUST-0068"/>
    <x v="2"/>
    <x v="3"/>
    <x v="5"/>
    <n v="1"/>
    <n v="2200"/>
    <x v="3"/>
    <n v="1870"/>
    <n v="66.73"/>
    <x v="0"/>
    <x v="0"/>
    <n v="3.568449197860963E-2"/>
  </r>
  <r>
    <s v="ORD-0188"/>
    <x v="152"/>
    <s v="CUST-0074"/>
    <x v="0"/>
    <x v="3"/>
    <x v="14"/>
    <n v="5"/>
    <n v="1800"/>
    <x v="1"/>
    <n v="8100"/>
    <n v="1434.1"/>
    <x v="0"/>
    <x v="0"/>
    <n v="0.17704938271604936"/>
  </r>
  <r>
    <s v="ORD-0189"/>
    <x v="143"/>
    <s v="Unknown"/>
    <x v="1"/>
    <x v="0"/>
    <x v="7"/>
    <n v="5"/>
    <n v="1600"/>
    <x v="1"/>
    <n v="7200"/>
    <n v="1193.72"/>
    <x v="4"/>
    <x v="1"/>
    <n v="0.16579444444444444"/>
  </r>
  <r>
    <s v="ORD-0190"/>
    <x v="119"/>
    <s v="CUST-0011"/>
    <x v="0"/>
    <x v="1"/>
    <x v="10"/>
    <n v="6"/>
    <n v="14500"/>
    <x v="1"/>
    <n v="78300"/>
    <n v="13595.58"/>
    <x v="0"/>
    <x v="1"/>
    <n v="0.1736344827586207"/>
  </r>
  <r>
    <s v="ORD-0191"/>
    <x v="78"/>
    <s v="CUST-0132"/>
    <x v="3"/>
    <x v="0"/>
    <x v="7"/>
    <n v="2"/>
    <n v="1600"/>
    <x v="3"/>
    <n v="2720"/>
    <n v="505.92"/>
    <x v="3"/>
    <x v="1"/>
    <n v="0.186"/>
  </r>
  <r>
    <s v="ORD-0192"/>
    <x v="153"/>
    <s v="CUST-0131"/>
    <x v="1"/>
    <x v="0"/>
    <x v="9"/>
    <n v="1"/>
    <n v="220"/>
    <x v="1"/>
    <n v="198"/>
    <n v="19.399999999999999"/>
    <x v="1"/>
    <x v="1"/>
    <n v="9.7979797979797972E-2"/>
  </r>
  <r>
    <s v="ORD-0193"/>
    <x v="83"/>
    <s v="CUST-0079"/>
    <x v="0"/>
    <x v="3"/>
    <x v="5"/>
    <n v="6"/>
    <n v="2200"/>
    <x v="4"/>
    <n v="10560"/>
    <n v="1081.57"/>
    <x v="1"/>
    <x v="1"/>
    <n v="0.10242140151515151"/>
  </r>
  <r>
    <s v="ORD-0194"/>
    <x v="154"/>
    <s v="CUST-0135"/>
    <x v="1"/>
    <x v="2"/>
    <x v="15"/>
    <n v="1"/>
    <n v="12000"/>
    <x v="4"/>
    <n v="9600"/>
    <n v="1552.44"/>
    <x v="1"/>
    <x v="0"/>
    <n v="0.16171250000000001"/>
  </r>
  <r>
    <s v="ORD-0195"/>
    <x v="129"/>
    <s v="CUST-0113"/>
    <x v="2"/>
    <x v="3"/>
    <x v="6"/>
    <n v="4"/>
    <n v="700"/>
    <x v="0"/>
    <n v="2660"/>
    <n v="340.91"/>
    <x v="0"/>
    <x v="1"/>
    <n v="0.12816165413533837"/>
  </r>
  <r>
    <s v="ORD-0196"/>
    <x v="95"/>
    <s v="CUST-0036"/>
    <x v="3"/>
    <x v="0"/>
    <x v="9"/>
    <n v="5"/>
    <n v="220"/>
    <x v="3"/>
    <n v="935"/>
    <n v="72.650000000000006"/>
    <x v="4"/>
    <x v="1"/>
    <n v="7.77005347593583E-2"/>
  </r>
  <r>
    <s v="ORD-0197"/>
    <x v="155"/>
    <s v="CUST-0088"/>
    <x v="2"/>
    <x v="0"/>
    <x v="9"/>
    <n v="2"/>
    <n v="220"/>
    <x v="0"/>
    <n v="418"/>
    <n v="44.78"/>
    <x v="3"/>
    <x v="0"/>
    <n v="0.10712918660287081"/>
  </r>
  <r>
    <s v="ORD-0198"/>
    <x v="156"/>
    <s v="CUST-0074"/>
    <x v="3"/>
    <x v="3"/>
    <x v="5"/>
    <n v="4"/>
    <n v="2200"/>
    <x v="1"/>
    <n v="7920"/>
    <n v="1066.6500000000001"/>
    <x v="3"/>
    <x v="1"/>
    <n v="0.13467803030303033"/>
  </r>
  <r>
    <s v="ORD-0199"/>
    <x v="74"/>
    <s v="CUST-0140"/>
    <x v="1"/>
    <x v="3"/>
    <x v="5"/>
    <n v="2"/>
    <n v="2200"/>
    <x v="1"/>
    <n v="3960"/>
    <n v="204.85"/>
    <x v="1"/>
    <x v="1"/>
    <n v="5.172979797979798E-2"/>
  </r>
  <r>
    <s v="ORD-0200"/>
    <x v="46"/>
    <s v="CUST-0066"/>
    <x v="1"/>
    <x v="2"/>
    <x v="15"/>
    <n v="5"/>
    <n v="12000"/>
    <x v="1"/>
    <n v="54000"/>
    <n v="10491.33"/>
    <x v="3"/>
    <x v="0"/>
    <n v="0.19428388888888889"/>
  </r>
  <r>
    <s v="ORD-0201"/>
    <x v="38"/>
    <s v="CUST-0062"/>
    <x v="3"/>
    <x v="1"/>
    <x v="10"/>
    <n v="6"/>
    <n v="14500"/>
    <x v="0"/>
    <n v="82650"/>
    <n v="5859.77"/>
    <x v="2"/>
    <x v="1"/>
    <n v="7.0898608590441628E-2"/>
  </r>
  <r>
    <s v="ORD-0202"/>
    <x v="157"/>
    <s v="CUST-0026"/>
    <x v="3"/>
    <x v="1"/>
    <x v="10"/>
    <n v="4"/>
    <n v="14500"/>
    <x v="3"/>
    <n v="49300"/>
    <n v="5121.8599999999997"/>
    <x v="4"/>
    <x v="1"/>
    <n v="0.10389168356997971"/>
  </r>
  <r>
    <s v="ORD-0203"/>
    <x v="158"/>
    <s v="CUST-0074"/>
    <x v="0"/>
    <x v="1"/>
    <x v="10"/>
    <n v="5"/>
    <n v="14500"/>
    <x v="2"/>
    <n v="72500"/>
    <n v="16393.46"/>
    <x v="4"/>
    <x v="1"/>
    <n v="0.2261166896551724"/>
  </r>
  <r>
    <s v="ORD-0204"/>
    <x v="159"/>
    <s v="CUST-0010"/>
    <x v="1"/>
    <x v="3"/>
    <x v="6"/>
    <n v="6"/>
    <n v="700"/>
    <x v="1"/>
    <n v="3780"/>
    <n v="700.35"/>
    <x v="1"/>
    <x v="1"/>
    <n v="0.18527777777777779"/>
  </r>
  <r>
    <s v="ORD-0205"/>
    <x v="160"/>
    <s v="CUST-0028"/>
    <x v="2"/>
    <x v="0"/>
    <x v="9"/>
    <n v="6"/>
    <n v="220"/>
    <x v="4"/>
    <n v="1056"/>
    <n v="99.15"/>
    <x v="4"/>
    <x v="1"/>
    <n v="9.3892045454545464E-2"/>
  </r>
  <r>
    <s v="ORD-0206"/>
    <x v="161"/>
    <s v="CUST-0050"/>
    <x v="0"/>
    <x v="0"/>
    <x v="0"/>
    <n v="6"/>
    <n v="120"/>
    <x v="3"/>
    <n v="612"/>
    <n v="80.31"/>
    <x v="4"/>
    <x v="0"/>
    <n v="0.13122549019607843"/>
  </r>
  <r>
    <s v="ORD-0207"/>
    <x v="162"/>
    <s v="CUST-0076"/>
    <x v="3"/>
    <x v="2"/>
    <x v="2"/>
    <n v="4"/>
    <n v="7800"/>
    <x v="4"/>
    <n v="24960"/>
    <n v="1559.21"/>
    <x v="2"/>
    <x v="0"/>
    <n v="6.2468349358974364E-2"/>
  </r>
  <r>
    <s v="ORD-0208"/>
    <x v="163"/>
    <s v="CUST-0036"/>
    <x v="1"/>
    <x v="0"/>
    <x v="0"/>
    <n v="1"/>
    <n v="120"/>
    <x v="1"/>
    <n v="108"/>
    <n v="11.49"/>
    <x v="2"/>
    <x v="1"/>
    <n v="0.10638888888888889"/>
  </r>
  <r>
    <s v="ORD-0209"/>
    <x v="96"/>
    <s v="CUST-0078"/>
    <x v="0"/>
    <x v="0"/>
    <x v="7"/>
    <n v="6"/>
    <n v="1600"/>
    <x v="0"/>
    <n v="9120"/>
    <n v="660.65"/>
    <x v="1"/>
    <x v="1"/>
    <n v="7.2439692982456144E-2"/>
  </r>
  <r>
    <s v="ORD-0210"/>
    <x v="149"/>
    <s v="CUST-0041"/>
    <x v="1"/>
    <x v="0"/>
    <x v="12"/>
    <n v="6"/>
    <n v="450"/>
    <x v="1"/>
    <n v="2430"/>
    <n v="252.25"/>
    <x v="4"/>
    <x v="0"/>
    <n v="0.10380658436213992"/>
  </r>
  <r>
    <s v="ORD-0211"/>
    <x v="151"/>
    <s v="CUST-0123"/>
    <x v="3"/>
    <x v="3"/>
    <x v="5"/>
    <n v="4"/>
    <n v="2200"/>
    <x v="4"/>
    <n v="7040"/>
    <n v="1098.57"/>
    <x v="0"/>
    <x v="0"/>
    <n v="0.156046875"/>
  </r>
  <r>
    <s v="ORD-0212"/>
    <x v="120"/>
    <s v="CUST-0021"/>
    <x v="1"/>
    <x v="0"/>
    <x v="12"/>
    <n v="5"/>
    <n v="450"/>
    <x v="2"/>
    <n v="2250"/>
    <n v="202.23"/>
    <x v="0"/>
    <x v="0"/>
    <n v="8.9880000000000002E-2"/>
  </r>
  <r>
    <s v="ORD-0213"/>
    <x v="164"/>
    <s v="CUST-0138"/>
    <x v="3"/>
    <x v="2"/>
    <x v="11"/>
    <n v="5"/>
    <n v="6500"/>
    <x v="3"/>
    <n v="27625"/>
    <n v="1273.47"/>
    <x v="4"/>
    <x v="1"/>
    <n v="4.609846153846154E-2"/>
  </r>
  <r>
    <s v="ORD-0214"/>
    <x v="70"/>
    <s v="CUST-0131"/>
    <x v="1"/>
    <x v="1"/>
    <x v="3"/>
    <n v="2"/>
    <n v="2500"/>
    <x v="4"/>
    <n v="4000"/>
    <n v="305.87"/>
    <x v="0"/>
    <x v="0"/>
    <n v="7.6467500000000008E-2"/>
  </r>
  <r>
    <s v="ORD-0215"/>
    <x v="122"/>
    <s v="CUST-0119"/>
    <x v="2"/>
    <x v="1"/>
    <x v="3"/>
    <n v="3"/>
    <n v="2500"/>
    <x v="2"/>
    <n v="7500"/>
    <n v="1494.97"/>
    <x v="0"/>
    <x v="0"/>
    <n v="0.19932933333333333"/>
  </r>
  <r>
    <s v="ORD-0216"/>
    <x v="81"/>
    <s v="CUST-0109"/>
    <x v="2"/>
    <x v="1"/>
    <x v="1"/>
    <n v="1"/>
    <n v="52000"/>
    <x v="3"/>
    <n v="44200"/>
    <n v="1439.93"/>
    <x v="2"/>
    <x v="0"/>
    <n v="3.2577601809954754E-2"/>
  </r>
  <r>
    <s v="ORD-0217"/>
    <x v="165"/>
    <s v="CUST-0108"/>
    <x v="2"/>
    <x v="3"/>
    <x v="14"/>
    <n v="4"/>
    <n v="1800"/>
    <x v="3"/>
    <n v="6120"/>
    <n v="246.88"/>
    <x v="0"/>
    <x v="0"/>
    <n v="4.033986928104575E-2"/>
  </r>
  <r>
    <s v="ORD-0218"/>
    <x v="166"/>
    <s v="CUST-0090"/>
    <x v="0"/>
    <x v="2"/>
    <x v="2"/>
    <n v="5"/>
    <n v="7800"/>
    <x v="0"/>
    <n v="37050"/>
    <n v="6630.37"/>
    <x v="4"/>
    <x v="0"/>
    <n v="0.17895735492577597"/>
  </r>
  <r>
    <s v="ORD-0219"/>
    <x v="167"/>
    <s v="CUST-0077"/>
    <x v="1"/>
    <x v="3"/>
    <x v="14"/>
    <n v="2"/>
    <n v="1800"/>
    <x v="0"/>
    <n v="3420"/>
    <n v="465.8"/>
    <x v="4"/>
    <x v="1"/>
    <n v="0.13619883040935674"/>
  </r>
  <r>
    <s v="ORD-0220"/>
    <x v="168"/>
    <s v="CUST-0029"/>
    <x v="0"/>
    <x v="3"/>
    <x v="13"/>
    <n v="2"/>
    <n v="900"/>
    <x v="0"/>
    <n v="1710"/>
    <n v="125.29"/>
    <x v="0"/>
    <x v="0"/>
    <n v="7.326900584795322E-2"/>
  </r>
  <r>
    <s v="ORD-0221"/>
    <x v="169"/>
    <s v="CUST-0013"/>
    <x v="4"/>
    <x v="1"/>
    <x v="3"/>
    <n v="4"/>
    <n v="2500"/>
    <x v="0"/>
    <n v="9500"/>
    <n v="1414.18"/>
    <x v="1"/>
    <x v="0"/>
    <n v="0.14886105263157895"/>
  </r>
  <r>
    <s v="ORD-0222"/>
    <x v="170"/>
    <s v="CUST-0075"/>
    <x v="3"/>
    <x v="0"/>
    <x v="7"/>
    <n v="2"/>
    <n v="1600"/>
    <x v="1"/>
    <n v="2880"/>
    <n v="533.38"/>
    <x v="0"/>
    <x v="0"/>
    <n v="0.18520138888888887"/>
  </r>
  <r>
    <s v="ORD-0223"/>
    <x v="171"/>
    <s v="CUST-0077"/>
    <x v="2"/>
    <x v="1"/>
    <x v="10"/>
    <n v="6"/>
    <n v="14500"/>
    <x v="3"/>
    <n v="73950"/>
    <n v="8610.4500000000007"/>
    <x v="1"/>
    <x v="1"/>
    <n v="0.11643610547667343"/>
  </r>
  <r>
    <s v="ORD-0224"/>
    <x v="134"/>
    <s v="CUST-0098"/>
    <x v="2"/>
    <x v="3"/>
    <x v="14"/>
    <n v="2"/>
    <n v="1800"/>
    <x v="1"/>
    <n v="3240"/>
    <n v="340.96"/>
    <x v="0"/>
    <x v="1"/>
    <n v="0.10523456790123456"/>
  </r>
  <r>
    <s v="ORD-0225"/>
    <x v="172"/>
    <s v="CUST-0058"/>
    <x v="2"/>
    <x v="2"/>
    <x v="2"/>
    <n v="1"/>
    <n v="7800"/>
    <x v="4"/>
    <n v="6240"/>
    <n v="474.42"/>
    <x v="2"/>
    <x v="0"/>
    <n v="7.6028846153846155E-2"/>
  </r>
  <r>
    <s v="ORD-0226"/>
    <x v="173"/>
    <s v="CUST-0063"/>
    <x v="2"/>
    <x v="2"/>
    <x v="11"/>
    <n v="6"/>
    <n v="6500"/>
    <x v="2"/>
    <n v="39000"/>
    <n v="8874.69"/>
    <x v="3"/>
    <x v="0"/>
    <n v="0.22755615384615385"/>
  </r>
  <r>
    <s v="ORD-0227"/>
    <x v="174"/>
    <s v="CUST-0049"/>
    <x v="0"/>
    <x v="0"/>
    <x v="9"/>
    <n v="6"/>
    <n v="220"/>
    <x v="4"/>
    <n v="1056"/>
    <n v="112.43"/>
    <x v="1"/>
    <x v="0"/>
    <n v="0.10646780303030304"/>
  </r>
  <r>
    <s v="ORD-0228"/>
    <x v="94"/>
    <s v="CUST-0056"/>
    <x v="1"/>
    <x v="2"/>
    <x v="11"/>
    <n v="3"/>
    <n v="6500"/>
    <x v="2"/>
    <n v="19500"/>
    <n v="2220.84"/>
    <x v="4"/>
    <x v="0"/>
    <n v="0.11388923076923077"/>
  </r>
  <r>
    <s v="ORD-0229"/>
    <x v="175"/>
    <s v="CUST-0063"/>
    <x v="3"/>
    <x v="3"/>
    <x v="6"/>
    <n v="5"/>
    <n v="700"/>
    <x v="1"/>
    <n v="3150"/>
    <n v="532.61"/>
    <x v="2"/>
    <x v="1"/>
    <n v="0.1690825396825397"/>
  </r>
  <r>
    <s v="ORD-0230"/>
    <x v="125"/>
    <s v="CUST-0092"/>
    <x v="2"/>
    <x v="0"/>
    <x v="7"/>
    <n v="5"/>
    <n v="1600"/>
    <x v="3"/>
    <n v="6800"/>
    <n v="694.01"/>
    <x v="2"/>
    <x v="1"/>
    <n v="0.10206029411764705"/>
  </r>
  <r>
    <s v="ORD-0231"/>
    <x v="27"/>
    <s v="CUST-0095"/>
    <x v="2"/>
    <x v="3"/>
    <x v="13"/>
    <n v="5"/>
    <n v="900"/>
    <x v="0"/>
    <n v="4275"/>
    <n v="774.2"/>
    <x v="1"/>
    <x v="1"/>
    <n v="0.18109941520467837"/>
  </r>
  <r>
    <s v="ORD-0232"/>
    <x v="12"/>
    <s v="CUST-0107"/>
    <x v="2"/>
    <x v="2"/>
    <x v="15"/>
    <n v="3"/>
    <n v="12000"/>
    <x v="0"/>
    <n v="34200"/>
    <n v="4215.9799999999996"/>
    <x v="4"/>
    <x v="1"/>
    <n v="0.12327426900584794"/>
  </r>
  <r>
    <s v="ORD-0233"/>
    <x v="16"/>
    <s v="CUST-0087"/>
    <x v="2"/>
    <x v="3"/>
    <x v="14"/>
    <n v="4"/>
    <n v="1800"/>
    <x v="0"/>
    <n v="6840"/>
    <n v="1229.45"/>
    <x v="3"/>
    <x v="0"/>
    <n v="0.17974415204678362"/>
  </r>
  <r>
    <s v="ORD-0234"/>
    <x v="22"/>
    <s v="CUST-0140"/>
    <x v="1"/>
    <x v="2"/>
    <x v="4"/>
    <n v="5"/>
    <n v="8500"/>
    <x v="2"/>
    <n v="42500"/>
    <n v="9105.67"/>
    <x v="1"/>
    <x v="0"/>
    <n v="0.21425105882352941"/>
  </r>
  <r>
    <s v="ORD-0235"/>
    <x v="176"/>
    <s v="CUST-0106"/>
    <x v="3"/>
    <x v="2"/>
    <x v="4"/>
    <n v="6"/>
    <n v="8500"/>
    <x v="0"/>
    <n v="48450"/>
    <n v="3098.99"/>
    <x v="0"/>
    <x v="1"/>
    <n v="6.3962641898864803E-2"/>
  </r>
  <r>
    <s v="ORD-0236"/>
    <x v="177"/>
    <s v="CUST-0016"/>
    <x v="1"/>
    <x v="3"/>
    <x v="13"/>
    <n v="1"/>
    <n v="900"/>
    <x v="4"/>
    <n v="720"/>
    <n v="70.75"/>
    <x v="1"/>
    <x v="0"/>
    <n v="9.8263888888888887E-2"/>
  </r>
  <r>
    <s v="ORD-0237"/>
    <x v="178"/>
    <s v="CUST-0071"/>
    <x v="2"/>
    <x v="1"/>
    <x v="3"/>
    <n v="2"/>
    <n v="2500"/>
    <x v="2"/>
    <n v="5000"/>
    <n v="1134.44"/>
    <x v="0"/>
    <x v="0"/>
    <n v="0.22688800000000001"/>
  </r>
  <r>
    <s v="ORD-0238"/>
    <x v="172"/>
    <s v="CUST-0050"/>
    <x v="2"/>
    <x v="0"/>
    <x v="7"/>
    <n v="4"/>
    <n v="1600"/>
    <x v="2"/>
    <n v="6400"/>
    <n v="894"/>
    <x v="2"/>
    <x v="1"/>
    <n v="0.13968749999999999"/>
  </r>
  <r>
    <s v="ORD-0239"/>
    <x v="82"/>
    <s v="CUST-0063"/>
    <x v="3"/>
    <x v="0"/>
    <x v="12"/>
    <n v="6"/>
    <n v="450"/>
    <x v="2"/>
    <n v="2700"/>
    <n v="256.39"/>
    <x v="2"/>
    <x v="1"/>
    <n v="9.4959259259259257E-2"/>
  </r>
  <r>
    <s v="ORD-0240"/>
    <x v="5"/>
    <s v="CUST-0122"/>
    <x v="0"/>
    <x v="1"/>
    <x v="10"/>
    <n v="1"/>
    <n v="14500"/>
    <x v="3"/>
    <n v="12325"/>
    <n v="2005.93"/>
    <x v="3"/>
    <x v="0"/>
    <n v="0.1627529411764706"/>
  </r>
  <r>
    <s v="ORD-0241"/>
    <x v="179"/>
    <s v="CUST-0011"/>
    <x v="3"/>
    <x v="2"/>
    <x v="2"/>
    <n v="3"/>
    <n v="7800"/>
    <x v="2"/>
    <n v="23400"/>
    <n v="5332.05"/>
    <x v="3"/>
    <x v="0"/>
    <n v="0.22786538461538464"/>
  </r>
  <r>
    <s v="ORD-0242"/>
    <x v="180"/>
    <s v="CUST-0081"/>
    <x v="0"/>
    <x v="2"/>
    <x v="15"/>
    <n v="6"/>
    <n v="12000"/>
    <x v="3"/>
    <n v="61200"/>
    <n v="10778.54"/>
    <x v="3"/>
    <x v="0"/>
    <n v="0.17611993464052289"/>
  </r>
  <r>
    <s v="ORD-0243"/>
    <x v="146"/>
    <s v="CUST-0062"/>
    <x v="1"/>
    <x v="0"/>
    <x v="9"/>
    <n v="6"/>
    <n v="220"/>
    <x v="0"/>
    <n v="1254"/>
    <n v="236.98"/>
    <x v="1"/>
    <x v="1"/>
    <n v="0.18897926634768739"/>
  </r>
  <r>
    <s v="ORD-0244"/>
    <x v="21"/>
    <s v="CUST-0026"/>
    <x v="1"/>
    <x v="2"/>
    <x v="4"/>
    <n v="3"/>
    <n v="8500"/>
    <x v="4"/>
    <n v="20400"/>
    <n v="2714.03"/>
    <x v="0"/>
    <x v="1"/>
    <n v="0.13304068627450982"/>
  </r>
  <r>
    <s v="ORD-0245"/>
    <x v="89"/>
    <s v="CUST-0008"/>
    <x v="2"/>
    <x v="3"/>
    <x v="14"/>
    <n v="2"/>
    <n v="1800"/>
    <x v="1"/>
    <n v="3240"/>
    <n v="432.49"/>
    <x v="2"/>
    <x v="1"/>
    <n v="0.13348456790123456"/>
  </r>
  <r>
    <s v="ORD-0246"/>
    <x v="181"/>
    <s v="CUST-0098"/>
    <x v="0"/>
    <x v="0"/>
    <x v="0"/>
    <n v="6"/>
    <n v="120"/>
    <x v="2"/>
    <n v="720"/>
    <n v="67.05"/>
    <x v="4"/>
    <x v="1"/>
    <n v="9.3124999999999999E-2"/>
  </r>
  <r>
    <s v="ORD-0247"/>
    <x v="182"/>
    <s v="CUST-0040"/>
    <x v="1"/>
    <x v="0"/>
    <x v="7"/>
    <n v="1"/>
    <n v="1600"/>
    <x v="2"/>
    <n v="1600"/>
    <n v="129.33000000000001"/>
    <x v="3"/>
    <x v="1"/>
    <n v="8.0831250000000007E-2"/>
  </r>
  <r>
    <s v="ORD-0248"/>
    <x v="183"/>
    <s v="CUST-0070"/>
    <x v="0"/>
    <x v="2"/>
    <x v="4"/>
    <n v="2"/>
    <n v="8500"/>
    <x v="3"/>
    <n v="14450"/>
    <n v="1435.1"/>
    <x v="0"/>
    <x v="1"/>
    <n v="9.9314878892733563E-2"/>
  </r>
  <r>
    <s v="ORD-0249"/>
    <x v="184"/>
    <s v="CUST-0007"/>
    <x v="0"/>
    <x v="0"/>
    <x v="12"/>
    <n v="5"/>
    <n v="450"/>
    <x v="4"/>
    <n v="1800"/>
    <n v="243.92"/>
    <x v="2"/>
    <x v="0"/>
    <n v="0.13551111111111111"/>
  </r>
  <r>
    <s v="ORD-0250"/>
    <x v="185"/>
    <s v="CUST-0106"/>
    <x v="1"/>
    <x v="1"/>
    <x v="10"/>
    <n v="5"/>
    <n v="14500"/>
    <x v="4"/>
    <n v="58000"/>
    <n v="2153.73"/>
    <x v="2"/>
    <x v="0"/>
    <n v="3.7133275862068965E-2"/>
  </r>
  <r>
    <s v="ORD-0251"/>
    <x v="22"/>
    <s v="CUST-0069"/>
    <x v="2"/>
    <x v="0"/>
    <x v="9"/>
    <n v="2"/>
    <n v="220"/>
    <x v="2"/>
    <n v="440"/>
    <n v="46.97"/>
    <x v="3"/>
    <x v="1"/>
    <n v="0.10675"/>
  </r>
  <r>
    <s v="ORD-0252"/>
    <x v="141"/>
    <s v="CUST-0124"/>
    <x v="0"/>
    <x v="0"/>
    <x v="7"/>
    <n v="2"/>
    <n v="1600"/>
    <x v="3"/>
    <n v="2720"/>
    <n v="333.22"/>
    <x v="4"/>
    <x v="1"/>
    <n v="0.12250735294117648"/>
  </r>
  <r>
    <s v="ORD-0253"/>
    <x v="186"/>
    <s v="CUST-0035"/>
    <x v="2"/>
    <x v="1"/>
    <x v="3"/>
    <n v="3"/>
    <n v="2500"/>
    <x v="4"/>
    <n v="6000"/>
    <n v="424.69"/>
    <x v="3"/>
    <x v="1"/>
    <n v="7.0781666666666659E-2"/>
  </r>
  <r>
    <s v="ORD-0254"/>
    <x v="187"/>
    <s v="CUST-0111"/>
    <x v="3"/>
    <x v="0"/>
    <x v="7"/>
    <n v="5"/>
    <n v="1600"/>
    <x v="0"/>
    <n v="7600"/>
    <n v="1057.48"/>
    <x v="4"/>
    <x v="1"/>
    <n v="0.1391421052631579"/>
  </r>
  <r>
    <s v="ORD-0255"/>
    <x v="188"/>
    <s v="CUST-0075"/>
    <x v="1"/>
    <x v="2"/>
    <x v="11"/>
    <n v="4"/>
    <n v="6500"/>
    <x v="1"/>
    <n v="23400"/>
    <n v="4109.96"/>
    <x v="2"/>
    <x v="1"/>
    <n v="0.17563931623931625"/>
  </r>
  <r>
    <s v="ORD-0256"/>
    <x v="75"/>
    <s v="CUST-0052"/>
    <x v="3"/>
    <x v="1"/>
    <x v="3"/>
    <n v="6"/>
    <n v="2500"/>
    <x v="0"/>
    <n v="14250"/>
    <n v="1890.3"/>
    <x v="3"/>
    <x v="0"/>
    <n v="0.13265263157894736"/>
  </r>
  <r>
    <s v="ORD-0257"/>
    <x v="189"/>
    <s v="CUST-0128"/>
    <x v="3"/>
    <x v="0"/>
    <x v="0"/>
    <n v="3"/>
    <n v="120"/>
    <x v="0"/>
    <n v="342"/>
    <n v="60.51"/>
    <x v="2"/>
    <x v="0"/>
    <n v="0.17692982456140349"/>
  </r>
  <r>
    <s v="ORD-0258"/>
    <x v="60"/>
    <s v="CUST-0123"/>
    <x v="1"/>
    <x v="3"/>
    <x v="13"/>
    <n v="3"/>
    <n v="900"/>
    <x v="4"/>
    <n v="2160"/>
    <n v="226.82"/>
    <x v="1"/>
    <x v="0"/>
    <n v="0.10500925925925926"/>
  </r>
  <r>
    <s v="ORD-0259"/>
    <x v="64"/>
    <s v="CUST-0091"/>
    <x v="3"/>
    <x v="1"/>
    <x v="3"/>
    <n v="3"/>
    <n v="2500"/>
    <x v="3"/>
    <n v="6375"/>
    <n v="283.38"/>
    <x v="1"/>
    <x v="1"/>
    <n v="4.445176470588235E-2"/>
  </r>
  <r>
    <s v="ORD-0260"/>
    <x v="190"/>
    <s v="CUST-0131"/>
    <x v="3"/>
    <x v="3"/>
    <x v="5"/>
    <n v="4"/>
    <n v="2200"/>
    <x v="3"/>
    <n v="7480"/>
    <n v="1130.04"/>
    <x v="0"/>
    <x v="0"/>
    <n v="0.15107486631016043"/>
  </r>
  <r>
    <s v="ORD-0261"/>
    <x v="191"/>
    <s v="CUST-0007"/>
    <x v="1"/>
    <x v="1"/>
    <x v="8"/>
    <n v="4"/>
    <n v="1800"/>
    <x v="2"/>
    <n v="7200"/>
    <n v="709.71"/>
    <x v="4"/>
    <x v="1"/>
    <n v="9.8570833333333344E-2"/>
  </r>
  <r>
    <s v="ORD-0262"/>
    <x v="55"/>
    <s v="CUST-0088"/>
    <x v="1"/>
    <x v="2"/>
    <x v="2"/>
    <n v="3"/>
    <n v="7800"/>
    <x v="3"/>
    <n v="19890"/>
    <n v="857.65"/>
    <x v="2"/>
    <x v="1"/>
    <n v="4.3119658119658122E-2"/>
  </r>
  <r>
    <s v="ORD-0263"/>
    <x v="132"/>
    <s v="CUST-0077"/>
    <x v="0"/>
    <x v="1"/>
    <x v="1"/>
    <n v="3"/>
    <n v="52000"/>
    <x v="2"/>
    <n v="156000"/>
    <n v="29381.4"/>
    <x v="4"/>
    <x v="0"/>
    <n v="0.1883423076923077"/>
  </r>
  <r>
    <s v="ORD-0264"/>
    <x v="59"/>
    <s v="CUST-0045"/>
    <x v="3"/>
    <x v="0"/>
    <x v="9"/>
    <n v="4"/>
    <n v="220"/>
    <x v="0"/>
    <n v="836"/>
    <n v="158.96"/>
    <x v="4"/>
    <x v="0"/>
    <n v="0.19014354066985648"/>
  </r>
  <r>
    <s v="ORD-0265"/>
    <x v="0"/>
    <s v="CUST-0111"/>
    <x v="1"/>
    <x v="1"/>
    <x v="10"/>
    <n v="4"/>
    <n v="14500"/>
    <x v="4"/>
    <n v="46400"/>
    <n v="3653"/>
    <x v="1"/>
    <x v="0"/>
    <n v="7.8728448275862076E-2"/>
  </r>
  <r>
    <s v="ORD-0266"/>
    <x v="192"/>
    <s v="CUST-0072"/>
    <x v="0"/>
    <x v="1"/>
    <x v="10"/>
    <n v="3"/>
    <n v="14500"/>
    <x v="1"/>
    <n v="39150"/>
    <n v="2996.22"/>
    <x v="1"/>
    <x v="1"/>
    <n v="7.653180076628352E-2"/>
  </r>
  <r>
    <s v="ORD-0267"/>
    <x v="193"/>
    <s v="CUST-0126"/>
    <x v="2"/>
    <x v="3"/>
    <x v="14"/>
    <n v="5"/>
    <n v="1800"/>
    <x v="2"/>
    <n v="9000"/>
    <n v="1221.01"/>
    <x v="2"/>
    <x v="0"/>
    <n v="0.13566777777777778"/>
  </r>
  <r>
    <s v="ORD-0268"/>
    <x v="194"/>
    <s v="CUST-0077"/>
    <x v="0"/>
    <x v="2"/>
    <x v="11"/>
    <n v="1"/>
    <n v="6500"/>
    <x v="0"/>
    <n v="6175"/>
    <n v="687.65"/>
    <x v="4"/>
    <x v="1"/>
    <n v="0.11136032388663968"/>
  </r>
  <r>
    <s v="ORD-0269"/>
    <x v="71"/>
    <s v="CUST-0037"/>
    <x v="1"/>
    <x v="3"/>
    <x v="6"/>
    <n v="5"/>
    <n v="700"/>
    <x v="3"/>
    <n v="2975"/>
    <n v="283.18"/>
    <x v="2"/>
    <x v="0"/>
    <n v="9.5186554621848746E-2"/>
  </r>
  <r>
    <s v="ORD-0270"/>
    <x v="195"/>
    <s v="CUST-0043"/>
    <x v="1"/>
    <x v="0"/>
    <x v="0"/>
    <n v="2"/>
    <n v="120"/>
    <x v="1"/>
    <n v="216"/>
    <n v="38.82"/>
    <x v="0"/>
    <x v="0"/>
    <n v="0.17972222222222223"/>
  </r>
  <r>
    <s v="ORD-0271"/>
    <x v="4"/>
    <s v="CUST-0003"/>
    <x v="1"/>
    <x v="2"/>
    <x v="15"/>
    <n v="4"/>
    <n v="12000"/>
    <x v="4"/>
    <n v="38400"/>
    <n v="3489.41"/>
    <x v="2"/>
    <x v="1"/>
    <n v="9.0870052083333333E-2"/>
  </r>
  <r>
    <s v="ORD-0272"/>
    <x v="8"/>
    <s v="CUST-0126"/>
    <x v="1"/>
    <x v="3"/>
    <x v="14"/>
    <n v="2"/>
    <n v="1800"/>
    <x v="2"/>
    <n v="3600"/>
    <n v="613.66999999999996"/>
    <x v="4"/>
    <x v="1"/>
    <n v="0.17046388888888889"/>
  </r>
  <r>
    <s v="ORD-0273"/>
    <x v="196"/>
    <s v="CUST-0071"/>
    <x v="3"/>
    <x v="0"/>
    <x v="0"/>
    <n v="4"/>
    <n v="120"/>
    <x v="4"/>
    <n v="384"/>
    <n v="49.46"/>
    <x v="2"/>
    <x v="0"/>
    <n v="0.12880208333333334"/>
  </r>
  <r>
    <s v="ORD-0274"/>
    <x v="164"/>
    <s v="CUST-0030"/>
    <x v="2"/>
    <x v="0"/>
    <x v="12"/>
    <n v="6"/>
    <n v="450"/>
    <x v="3"/>
    <n v="2295"/>
    <n v="263.73"/>
    <x v="2"/>
    <x v="0"/>
    <n v="0.11491503267973857"/>
  </r>
  <r>
    <s v="ORD-0275"/>
    <x v="166"/>
    <s v="CUST-0064"/>
    <x v="2"/>
    <x v="1"/>
    <x v="3"/>
    <n v="3"/>
    <n v="2500"/>
    <x v="1"/>
    <n v="6750"/>
    <n v="1234.93"/>
    <x v="1"/>
    <x v="1"/>
    <n v="0.18295259259259261"/>
  </r>
  <r>
    <s v="ORD-0352"/>
    <x v="197"/>
    <s v="CUST-0061"/>
    <x v="3"/>
    <x v="0"/>
    <x v="9"/>
    <n v="2"/>
    <n v="220"/>
    <x v="4"/>
    <n v="352"/>
    <n v="11.36"/>
    <x v="4"/>
    <x v="0"/>
    <n v="3.2272727272727272E-2"/>
  </r>
  <r>
    <s v="ORD-0277"/>
    <x v="24"/>
    <s v="CUST-0090"/>
    <x v="2"/>
    <x v="2"/>
    <x v="11"/>
    <n v="6"/>
    <n v="6500"/>
    <x v="1"/>
    <n v="35100"/>
    <n v="3204.4"/>
    <x v="3"/>
    <x v="0"/>
    <n v="9.1293447293447294E-2"/>
  </r>
  <r>
    <s v="ORD-0278"/>
    <x v="165"/>
    <s v="CUST-0106"/>
    <x v="0"/>
    <x v="0"/>
    <x v="0"/>
    <n v="6"/>
    <n v="120"/>
    <x v="0"/>
    <n v="684"/>
    <n v="70.069999999999993"/>
    <x v="3"/>
    <x v="0"/>
    <n v="0.10244152046783625"/>
  </r>
  <r>
    <s v="ORD-0279"/>
    <x v="84"/>
    <s v="CUST-0101"/>
    <x v="1"/>
    <x v="2"/>
    <x v="11"/>
    <n v="6"/>
    <n v="6500"/>
    <x v="3"/>
    <n v="33150"/>
    <n v="2901.54"/>
    <x v="1"/>
    <x v="0"/>
    <n v="8.7527601809954753E-2"/>
  </r>
  <r>
    <s v="ORD-0280"/>
    <x v="72"/>
    <s v="CUST-0132"/>
    <x v="2"/>
    <x v="0"/>
    <x v="9"/>
    <n v="4"/>
    <n v="220"/>
    <x v="1"/>
    <n v="792"/>
    <n v="109.39"/>
    <x v="1"/>
    <x v="1"/>
    <n v="0.13811868686868686"/>
  </r>
  <r>
    <s v="ORD-0281"/>
    <x v="198"/>
    <s v="CUST-0092"/>
    <x v="0"/>
    <x v="3"/>
    <x v="6"/>
    <n v="4"/>
    <n v="700"/>
    <x v="0"/>
    <n v="2660"/>
    <n v="376.8"/>
    <x v="3"/>
    <x v="1"/>
    <n v="0.14165413533834587"/>
  </r>
  <r>
    <s v="ORD-0282"/>
    <x v="162"/>
    <s v="CUST-0034"/>
    <x v="1"/>
    <x v="0"/>
    <x v="12"/>
    <n v="1"/>
    <n v="450"/>
    <x v="2"/>
    <n v="450"/>
    <n v="81.08"/>
    <x v="2"/>
    <x v="0"/>
    <n v="0.18017777777777777"/>
  </r>
  <r>
    <s v="ORD-0283"/>
    <x v="199"/>
    <s v="CUST-0041"/>
    <x v="1"/>
    <x v="3"/>
    <x v="13"/>
    <n v="4"/>
    <n v="900"/>
    <x v="0"/>
    <n v="3420"/>
    <n v="758.59"/>
    <x v="4"/>
    <x v="1"/>
    <n v="0.22180994152046785"/>
  </r>
  <r>
    <s v="ORD-0284"/>
    <x v="200"/>
    <s v="CUST-0071"/>
    <x v="0"/>
    <x v="0"/>
    <x v="7"/>
    <n v="1"/>
    <n v="1600"/>
    <x v="1"/>
    <n v="1440"/>
    <n v="217.9"/>
    <x v="4"/>
    <x v="0"/>
    <n v="0.15131944444444445"/>
  </r>
  <r>
    <s v="ORD-0285"/>
    <x v="114"/>
    <s v="CUST-0079"/>
    <x v="3"/>
    <x v="3"/>
    <x v="13"/>
    <n v="6"/>
    <n v="900"/>
    <x v="2"/>
    <n v="5400"/>
    <n v="432.94"/>
    <x v="2"/>
    <x v="0"/>
    <n v="8.0174074074074078E-2"/>
  </r>
  <r>
    <s v="ORD-0286"/>
    <x v="201"/>
    <s v="CUST-0058"/>
    <x v="1"/>
    <x v="1"/>
    <x v="1"/>
    <n v="6"/>
    <n v="52000"/>
    <x v="1"/>
    <n v="280800"/>
    <n v="49347.07"/>
    <x v="2"/>
    <x v="0"/>
    <n v="0.17573742877492876"/>
  </r>
  <r>
    <s v="ORD-0287"/>
    <x v="202"/>
    <s v="CUST-0019"/>
    <x v="3"/>
    <x v="3"/>
    <x v="13"/>
    <n v="6"/>
    <n v="900"/>
    <x v="2"/>
    <n v="5400"/>
    <n v="521.16999999999996"/>
    <x v="3"/>
    <x v="1"/>
    <n v="9.6512962962962953E-2"/>
  </r>
  <r>
    <s v="ORD-0288"/>
    <x v="110"/>
    <s v="CUST-0098"/>
    <x v="3"/>
    <x v="2"/>
    <x v="4"/>
    <n v="5"/>
    <n v="8500"/>
    <x v="4"/>
    <n v="34000"/>
    <n v="1020"/>
    <x v="4"/>
    <x v="1"/>
    <n v="0.03"/>
  </r>
  <r>
    <s v="ORD-0289"/>
    <x v="37"/>
    <s v="CUST-0055"/>
    <x v="3"/>
    <x v="3"/>
    <x v="14"/>
    <n v="2"/>
    <n v="1800"/>
    <x v="2"/>
    <n v="3600"/>
    <n v="804.44"/>
    <x v="4"/>
    <x v="0"/>
    <n v="0.22345555555555557"/>
  </r>
  <r>
    <s v="ORD-0290"/>
    <x v="18"/>
    <s v="CUST-0099"/>
    <x v="2"/>
    <x v="3"/>
    <x v="5"/>
    <n v="2"/>
    <n v="2200"/>
    <x v="0"/>
    <n v="4180"/>
    <n v="446.49"/>
    <x v="1"/>
    <x v="0"/>
    <n v="0.10681578947368421"/>
  </r>
  <r>
    <s v="ORD-0291"/>
    <x v="12"/>
    <s v="CUST-0073"/>
    <x v="0"/>
    <x v="0"/>
    <x v="0"/>
    <n v="5"/>
    <n v="120"/>
    <x v="4"/>
    <n v="480"/>
    <n v="43.93"/>
    <x v="2"/>
    <x v="1"/>
    <n v="9.1520833333333329E-2"/>
  </r>
  <r>
    <s v="ORD-0292"/>
    <x v="118"/>
    <s v="CUST-0014"/>
    <x v="3"/>
    <x v="3"/>
    <x v="14"/>
    <n v="1"/>
    <n v="1800"/>
    <x v="0"/>
    <n v="1710"/>
    <n v="243.56"/>
    <x v="0"/>
    <x v="0"/>
    <n v="0.14243274853801169"/>
  </r>
  <r>
    <s v="ORD-0293"/>
    <x v="179"/>
    <s v="CUST-0004"/>
    <x v="2"/>
    <x v="0"/>
    <x v="0"/>
    <n v="4"/>
    <n v="120"/>
    <x v="4"/>
    <n v="384"/>
    <n v="29.7"/>
    <x v="0"/>
    <x v="0"/>
    <n v="7.7343750000000003E-2"/>
  </r>
  <r>
    <s v="ORD-0294"/>
    <x v="157"/>
    <s v="CUST-0019"/>
    <x v="0"/>
    <x v="1"/>
    <x v="1"/>
    <n v="3"/>
    <n v="52000"/>
    <x v="0"/>
    <n v="148200"/>
    <n v="10206.870000000001"/>
    <x v="1"/>
    <x v="1"/>
    <n v="6.8872267206477739E-2"/>
  </r>
  <r>
    <s v="ORD-0295"/>
    <x v="153"/>
    <s v="CUST-0074"/>
    <x v="1"/>
    <x v="3"/>
    <x v="14"/>
    <n v="1"/>
    <n v="1800"/>
    <x v="4"/>
    <n v="1440"/>
    <n v="138.28"/>
    <x v="4"/>
    <x v="1"/>
    <n v="9.6027777777777781E-2"/>
  </r>
  <r>
    <s v="ORD-0296"/>
    <x v="138"/>
    <s v="CUST-0080"/>
    <x v="0"/>
    <x v="2"/>
    <x v="15"/>
    <n v="5"/>
    <n v="12000"/>
    <x v="1"/>
    <n v="54000"/>
    <n v="5805.92"/>
    <x v="1"/>
    <x v="1"/>
    <n v="0.10751703703703704"/>
  </r>
  <r>
    <s v="ORD-0297"/>
    <x v="3"/>
    <s v="CUST-0112"/>
    <x v="3"/>
    <x v="1"/>
    <x v="10"/>
    <n v="1"/>
    <n v="14500"/>
    <x v="3"/>
    <n v="12325"/>
    <n v="567.66"/>
    <x v="0"/>
    <x v="0"/>
    <n v="4.6057606490872205E-2"/>
  </r>
  <r>
    <s v="ORD-0298"/>
    <x v="123"/>
    <s v="CUST-0045"/>
    <x v="0"/>
    <x v="1"/>
    <x v="10"/>
    <n v="6"/>
    <n v="14500"/>
    <x v="2"/>
    <n v="87000"/>
    <n v="9240.5499999999993"/>
    <x v="3"/>
    <x v="1"/>
    <n v="0.1062132183908046"/>
  </r>
  <r>
    <s v="ORD-0299"/>
    <x v="203"/>
    <s v="CUST-0096"/>
    <x v="3"/>
    <x v="0"/>
    <x v="12"/>
    <n v="1"/>
    <n v="450"/>
    <x v="1"/>
    <n v="405"/>
    <n v="70.53"/>
    <x v="3"/>
    <x v="0"/>
    <n v="0.17414814814814816"/>
  </r>
  <r>
    <s v="ORD-0300"/>
    <x v="13"/>
    <s v="CUST-0020"/>
    <x v="1"/>
    <x v="3"/>
    <x v="5"/>
    <n v="1"/>
    <n v="2200"/>
    <x v="3"/>
    <n v="1870"/>
    <n v="308.55"/>
    <x v="4"/>
    <x v="1"/>
    <n v="0.16500000000000001"/>
  </r>
  <r>
    <s v="ORD-0301"/>
    <x v="65"/>
    <s v="CUST-0066"/>
    <x v="0"/>
    <x v="1"/>
    <x v="10"/>
    <n v="6"/>
    <n v="14500"/>
    <x v="4"/>
    <n v="69600"/>
    <n v="2088"/>
    <x v="1"/>
    <x v="0"/>
    <n v="0.03"/>
  </r>
  <r>
    <s v="ORD-0302"/>
    <x v="81"/>
    <s v="CUST-0121"/>
    <x v="2"/>
    <x v="3"/>
    <x v="6"/>
    <n v="2"/>
    <n v="700"/>
    <x v="2"/>
    <n v="1400"/>
    <n v="235.84"/>
    <x v="2"/>
    <x v="0"/>
    <n v="0.16845714285714286"/>
  </r>
  <r>
    <s v="ORD-0303"/>
    <x v="158"/>
    <s v="CUST-0064"/>
    <x v="1"/>
    <x v="0"/>
    <x v="7"/>
    <n v="1"/>
    <n v="1600"/>
    <x v="4"/>
    <n v="1280"/>
    <n v="89.15"/>
    <x v="0"/>
    <x v="0"/>
    <n v="6.9648437500000007E-2"/>
  </r>
  <r>
    <s v="ORD-0304"/>
    <x v="180"/>
    <s v="CUST-0058"/>
    <x v="0"/>
    <x v="3"/>
    <x v="13"/>
    <n v="4"/>
    <n v="900"/>
    <x v="1"/>
    <n v="3240"/>
    <n v="546.79999999999995"/>
    <x v="3"/>
    <x v="1"/>
    <n v="0.16876543209876541"/>
  </r>
  <r>
    <s v="ORD-0305"/>
    <x v="204"/>
    <s v="CUST-0117"/>
    <x v="0"/>
    <x v="0"/>
    <x v="0"/>
    <n v="3"/>
    <n v="120"/>
    <x v="4"/>
    <n v="288"/>
    <n v="39.03"/>
    <x v="0"/>
    <x v="0"/>
    <n v="0.13552083333333334"/>
  </r>
  <r>
    <s v="ORD-0306"/>
    <x v="205"/>
    <s v="CUST-0095"/>
    <x v="1"/>
    <x v="2"/>
    <x v="15"/>
    <n v="2"/>
    <n v="12000"/>
    <x v="2"/>
    <n v="24000"/>
    <n v="5500.41"/>
    <x v="1"/>
    <x v="0"/>
    <n v="0.22918374999999999"/>
  </r>
  <r>
    <s v="ORD-0307"/>
    <x v="206"/>
    <s v="CUST-0089"/>
    <x v="0"/>
    <x v="0"/>
    <x v="12"/>
    <n v="6"/>
    <n v="450"/>
    <x v="3"/>
    <n v="2295"/>
    <n v="374.87"/>
    <x v="3"/>
    <x v="0"/>
    <n v="0.16334204793028323"/>
  </r>
  <r>
    <s v="ORD-0308"/>
    <x v="192"/>
    <s v="CUST-0136"/>
    <x v="3"/>
    <x v="3"/>
    <x v="14"/>
    <n v="1"/>
    <n v="1800"/>
    <x v="0"/>
    <n v="1710"/>
    <n v="301.58"/>
    <x v="1"/>
    <x v="0"/>
    <n v="0.17636257309941519"/>
  </r>
  <r>
    <s v="ORD-0309"/>
    <x v="207"/>
    <s v="CUST-0134"/>
    <x v="1"/>
    <x v="0"/>
    <x v="9"/>
    <n v="6"/>
    <n v="220"/>
    <x v="2"/>
    <n v="1320"/>
    <n v="228.26"/>
    <x v="0"/>
    <x v="0"/>
    <n v="0.17292424242424242"/>
  </r>
  <r>
    <s v="ORD-0310"/>
    <x v="208"/>
    <s v="CUST-0101"/>
    <x v="0"/>
    <x v="1"/>
    <x v="3"/>
    <n v="6"/>
    <n v="2500"/>
    <x v="0"/>
    <n v="14250"/>
    <n v="1430.46"/>
    <x v="3"/>
    <x v="1"/>
    <n v="0.10038315789473684"/>
  </r>
  <r>
    <s v="ORD-0311"/>
    <x v="209"/>
    <s v="CUST-0084"/>
    <x v="2"/>
    <x v="3"/>
    <x v="5"/>
    <n v="2"/>
    <n v="2200"/>
    <x v="2"/>
    <n v="4400"/>
    <n v="1016.26"/>
    <x v="4"/>
    <x v="0"/>
    <n v="0.23096818181818182"/>
  </r>
  <r>
    <s v="ORD-0312"/>
    <x v="25"/>
    <s v="Unknown"/>
    <x v="3"/>
    <x v="3"/>
    <x v="14"/>
    <n v="3"/>
    <n v="1800"/>
    <x v="3"/>
    <n v="4590"/>
    <n v="214.89"/>
    <x v="3"/>
    <x v="0"/>
    <n v="4.6816993464052284E-2"/>
  </r>
  <r>
    <s v="ORD-0313"/>
    <x v="99"/>
    <s v="CUST-0079"/>
    <x v="1"/>
    <x v="0"/>
    <x v="12"/>
    <n v="1"/>
    <n v="450"/>
    <x v="0"/>
    <n v="427.5"/>
    <n v="81.96"/>
    <x v="3"/>
    <x v="0"/>
    <n v="0.19171929824561401"/>
  </r>
  <r>
    <s v="ORD-0314"/>
    <x v="210"/>
    <s v="CUST-0084"/>
    <x v="3"/>
    <x v="1"/>
    <x v="10"/>
    <n v="3"/>
    <n v="14500"/>
    <x v="3"/>
    <n v="36975"/>
    <n v="4054.44"/>
    <x v="3"/>
    <x v="1"/>
    <n v="0.10965354969574037"/>
  </r>
  <r>
    <s v="ORD-0315"/>
    <x v="211"/>
    <s v="CUST-0008"/>
    <x v="1"/>
    <x v="3"/>
    <x v="6"/>
    <n v="1"/>
    <n v="700"/>
    <x v="3"/>
    <n v="595"/>
    <n v="26.06"/>
    <x v="4"/>
    <x v="0"/>
    <n v="4.3798319327731088E-2"/>
  </r>
  <r>
    <s v="ORD-0316"/>
    <x v="56"/>
    <s v="CUST-0016"/>
    <x v="3"/>
    <x v="2"/>
    <x v="15"/>
    <n v="4"/>
    <n v="12000"/>
    <x v="1"/>
    <n v="43200"/>
    <n v="6687.6"/>
    <x v="1"/>
    <x v="1"/>
    <n v="0.15480555555555556"/>
  </r>
  <r>
    <s v="ORD-0317"/>
    <x v="212"/>
    <s v="CUST-0006"/>
    <x v="0"/>
    <x v="2"/>
    <x v="2"/>
    <n v="2"/>
    <n v="7800"/>
    <x v="2"/>
    <n v="15600"/>
    <n v="3507.07"/>
    <x v="3"/>
    <x v="0"/>
    <n v="0.22481217948717949"/>
  </r>
  <r>
    <s v="ORD-0318"/>
    <x v="213"/>
    <s v="CUST-0119"/>
    <x v="0"/>
    <x v="2"/>
    <x v="2"/>
    <n v="6"/>
    <n v="7800"/>
    <x v="3"/>
    <n v="39780"/>
    <n v="4251.7"/>
    <x v="2"/>
    <x v="1"/>
    <n v="0.10688034188034187"/>
  </r>
  <r>
    <s v="ORD-0319"/>
    <x v="214"/>
    <s v="CUST-0091"/>
    <x v="3"/>
    <x v="2"/>
    <x v="11"/>
    <n v="3"/>
    <n v="6500"/>
    <x v="3"/>
    <n v="16575"/>
    <n v="2798.65"/>
    <x v="1"/>
    <x v="0"/>
    <n v="0.16884766214177979"/>
  </r>
  <r>
    <s v="ORD-0320"/>
    <x v="215"/>
    <s v="CUST-0076"/>
    <x v="1"/>
    <x v="3"/>
    <x v="14"/>
    <n v="1"/>
    <n v="1800"/>
    <x v="2"/>
    <n v="1800"/>
    <n v="224.58"/>
    <x v="4"/>
    <x v="1"/>
    <n v="0.12476666666666668"/>
  </r>
  <r>
    <s v="ORD-0321"/>
    <x v="216"/>
    <s v="CUST-0135"/>
    <x v="3"/>
    <x v="1"/>
    <x v="3"/>
    <n v="6"/>
    <n v="2500"/>
    <x v="1"/>
    <n v="13500"/>
    <n v="1643.62"/>
    <x v="2"/>
    <x v="1"/>
    <n v="0.12174962962962962"/>
  </r>
  <r>
    <s v="ORD-0322"/>
    <x v="82"/>
    <s v="CUST-0129"/>
    <x v="2"/>
    <x v="3"/>
    <x v="5"/>
    <n v="2"/>
    <n v="2200"/>
    <x v="2"/>
    <n v="4400"/>
    <n v="576.49"/>
    <x v="4"/>
    <x v="0"/>
    <n v="0.13102045454545455"/>
  </r>
  <r>
    <s v="ORD-0323"/>
    <x v="217"/>
    <s v="CUST-0015"/>
    <x v="1"/>
    <x v="0"/>
    <x v="0"/>
    <n v="2"/>
    <n v="120"/>
    <x v="2"/>
    <n v="240"/>
    <n v="28.72"/>
    <x v="4"/>
    <x v="1"/>
    <n v="0.11966666666666666"/>
  </r>
  <r>
    <s v="ORD-0324"/>
    <x v="125"/>
    <s v="CUST-0015"/>
    <x v="3"/>
    <x v="3"/>
    <x v="5"/>
    <n v="2"/>
    <n v="2200"/>
    <x v="0"/>
    <n v="4180"/>
    <n v="419.46"/>
    <x v="3"/>
    <x v="1"/>
    <n v="0.10034928229665072"/>
  </r>
  <r>
    <s v="ORD-0325"/>
    <x v="1"/>
    <s v="CUST-0008"/>
    <x v="2"/>
    <x v="2"/>
    <x v="15"/>
    <n v="4"/>
    <n v="12000"/>
    <x v="4"/>
    <n v="38400"/>
    <n v="2282.8200000000002"/>
    <x v="2"/>
    <x v="0"/>
    <n v="5.9448437500000006E-2"/>
  </r>
  <r>
    <s v="ORD-0326"/>
    <x v="70"/>
    <s v="CUST-0015"/>
    <x v="3"/>
    <x v="2"/>
    <x v="4"/>
    <n v="5"/>
    <n v="8500"/>
    <x v="3"/>
    <n v="36125"/>
    <n v="1083.75"/>
    <x v="0"/>
    <x v="0"/>
    <n v="0.03"/>
  </r>
  <r>
    <s v="ORD-0327"/>
    <x v="218"/>
    <s v="CUST-0088"/>
    <x v="3"/>
    <x v="0"/>
    <x v="12"/>
    <n v="1"/>
    <n v="450"/>
    <x v="0"/>
    <n v="427.5"/>
    <n v="66.84"/>
    <x v="4"/>
    <x v="0"/>
    <n v="0.15635087719298246"/>
  </r>
  <r>
    <s v="ORD-0328"/>
    <x v="109"/>
    <s v="CUST-0094"/>
    <x v="0"/>
    <x v="0"/>
    <x v="9"/>
    <n v="5"/>
    <n v="220"/>
    <x v="2"/>
    <n v="1100"/>
    <n v="147.22999999999999"/>
    <x v="3"/>
    <x v="0"/>
    <n v="0.13384545454545455"/>
  </r>
  <r>
    <s v="ORD-0329"/>
    <x v="65"/>
    <s v="CUST-0112"/>
    <x v="1"/>
    <x v="0"/>
    <x v="0"/>
    <n v="6"/>
    <n v="120"/>
    <x v="4"/>
    <n v="576"/>
    <n v="69.680000000000007"/>
    <x v="0"/>
    <x v="1"/>
    <n v="0.12097222222222223"/>
  </r>
  <r>
    <s v="ORD-0330"/>
    <x v="219"/>
    <s v="CUST-0045"/>
    <x v="1"/>
    <x v="0"/>
    <x v="7"/>
    <n v="2"/>
    <n v="1600"/>
    <x v="0"/>
    <n v="3040"/>
    <n v="544.5"/>
    <x v="0"/>
    <x v="1"/>
    <n v="0.17911184210526315"/>
  </r>
  <r>
    <s v="ORD-0331"/>
    <x v="160"/>
    <s v="CUST-0009"/>
    <x v="4"/>
    <x v="0"/>
    <x v="0"/>
    <n v="6"/>
    <n v="120"/>
    <x v="4"/>
    <n v="576"/>
    <n v="17.28"/>
    <x v="2"/>
    <x v="0"/>
    <n v="3.0000000000000002E-2"/>
  </r>
  <r>
    <s v="ORD-0332"/>
    <x v="220"/>
    <s v="CUST-0020"/>
    <x v="3"/>
    <x v="0"/>
    <x v="7"/>
    <n v="2"/>
    <n v="1600"/>
    <x v="2"/>
    <n v="3200"/>
    <n v="676.69"/>
    <x v="3"/>
    <x v="1"/>
    <n v="0.21146562500000002"/>
  </r>
  <r>
    <s v="ORD-0333"/>
    <x v="221"/>
    <s v="CUST-0068"/>
    <x v="3"/>
    <x v="2"/>
    <x v="4"/>
    <n v="3"/>
    <n v="8500"/>
    <x v="1"/>
    <n v="22950"/>
    <n v="3922.69"/>
    <x v="1"/>
    <x v="0"/>
    <n v="0.17092331154684096"/>
  </r>
  <r>
    <s v="ORD-0334"/>
    <x v="222"/>
    <s v="CUST-0113"/>
    <x v="1"/>
    <x v="2"/>
    <x v="2"/>
    <n v="4"/>
    <n v="7800"/>
    <x v="3"/>
    <n v="26520"/>
    <n v="2219.64"/>
    <x v="2"/>
    <x v="0"/>
    <n v="8.3696832579185518E-2"/>
  </r>
  <r>
    <s v="ORD-0335"/>
    <x v="175"/>
    <s v="CUST-0058"/>
    <x v="3"/>
    <x v="3"/>
    <x v="13"/>
    <n v="1"/>
    <n v="900"/>
    <x v="1"/>
    <n v="810"/>
    <n v="39.049999999999997"/>
    <x v="3"/>
    <x v="0"/>
    <n v="4.8209876543209872E-2"/>
  </r>
  <r>
    <s v="ORD-0336"/>
    <x v="223"/>
    <s v="CUST-0088"/>
    <x v="3"/>
    <x v="3"/>
    <x v="6"/>
    <n v="6"/>
    <n v="700"/>
    <x v="2"/>
    <n v="4200"/>
    <n v="703.62"/>
    <x v="1"/>
    <x v="1"/>
    <n v="0.16752857142857144"/>
  </r>
  <r>
    <s v="ORD-0337"/>
    <x v="224"/>
    <s v="CUST-0124"/>
    <x v="0"/>
    <x v="3"/>
    <x v="6"/>
    <n v="5"/>
    <n v="700"/>
    <x v="3"/>
    <n v="2975"/>
    <n v="156.59"/>
    <x v="1"/>
    <x v="1"/>
    <n v="5.2635294117647058E-2"/>
  </r>
  <r>
    <s v="ORD-0338"/>
    <x v="192"/>
    <s v="CUST-0049"/>
    <x v="1"/>
    <x v="0"/>
    <x v="7"/>
    <n v="3"/>
    <n v="1600"/>
    <x v="0"/>
    <n v="4560"/>
    <n v="354.98"/>
    <x v="2"/>
    <x v="1"/>
    <n v="7.7846491228070178E-2"/>
  </r>
  <r>
    <s v="ORD-0339"/>
    <x v="11"/>
    <s v="CUST-0014"/>
    <x v="2"/>
    <x v="1"/>
    <x v="3"/>
    <n v="1"/>
    <n v="2500"/>
    <x v="1"/>
    <n v="2250"/>
    <n v="397.85"/>
    <x v="0"/>
    <x v="1"/>
    <n v="0.17682222222222224"/>
  </r>
  <r>
    <s v="ORD-0340"/>
    <x v="216"/>
    <s v="CUST-0025"/>
    <x v="0"/>
    <x v="2"/>
    <x v="15"/>
    <n v="6"/>
    <n v="12000"/>
    <x v="1"/>
    <n v="64800"/>
    <n v="13046.13"/>
    <x v="2"/>
    <x v="0"/>
    <n v="0.20132916666666664"/>
  </r>
  <r>
    <s v="ORD-0341"/>
    <x v="149"/>
    <s v="CUST-0102"/>
    <x v="1"/>
    <x v="3"/>
    <x v="5"/>
    <n v="1"/>
    <n v="2200"/>
    <x v="4"/>
    <n v="1760"/>
    <n v="126.73"/>
    <x v="3"/>
    <x v="1"/>
    <n v="7.2005681818181816E-2"/>
  </r>
  <r>
    <s v="ORD-0342"/>
    <x v="225"/>
    <s v="CUST-0048"/>
    <x v="1"/>
    <x v="1"/>
    <x v="8"/>
    <n v="4"/>
    <n v="1800"/>
    <x v="3"/>
    <n v="6120"/>
    <n v="426.22"/>
    <x v="3"/>
    <x v="0"/>
    <n v="6.9643790849673204E-2"/>
  </r>
  <r>
    <s v="ORD-0343"/>
    <x v="226"/>
    <s v="CUST-0025"/>
    <x v="0"/>
    <x v="0"/>
    <x v="9"/>
    <n v="5"/>
    <n v="220"/>
    <x v="0"/>
    <n v="1045"/>
    <n v="157.87"/>
    <x v="2"/>
    <x v="1"/>
    <n v="0.15107177033492825"/>
  </r>
  <r>
    <s v="ORD-0344"/>
    <x v="174"/>
    <s v="CUST-0122"/>
    <x v="3"/>
    <x v="3"/>
    <x v="5"/>
    <n v="1"/>
    <n v="2200"/>
    <x v="3"/>
    <n v="1870"/>
    <n v="321.54000000000002"/>
    <x v="1"/>
    <x v="0"/>
    <n v="0.17194652406417113"/>
  </r>
  <r>
    <s v="ORD-0345"/>
    <x v="26"/>
    <s v="CUST-0115"/>
    <x v="3"/>
    <x v="2"/>
    <x v="15"/>
    <n v="2"/>
    <n v="12000"/>
    <x v="0"/>
    <n v="22800"/>
    <n v="1580.68"/>
    <x v="1"/>
    <x v="1"/>
    <n v="6.93280701754386E-2"/>
  </r>
  <r>
    <s v="ORD-0346"/>
    <x v="227"/>
    <s v="CUST-0038"/>
    <x v="2"/>
    <x v="0"/>
    <x v="12"/>
    <n v="1"/>
    <n v="450"/>
    <x v="3"/>
    <n v="382.5"/>
    <n v="44.57"/>
    <x v="0"/>
    <x v="1"/>
    <n v="0.11652287581699347"/>
  </r>
  <r>
    <s v="ORD-0347"/>
    <x v="228"/>
    <s v="CUST-0134"/>
    <x v="1"/>
    <x v="1"/>
    <x v="3"/>
    <n v="1"/>
    <n v="2500"/>
    <x v="3"/>
    <n v="2125"/>
    <n v="109.32"/>
    <x v="0"/>
    <x v="0"/>
    <n v="5.1444705882352941E-2"/>
  </r>
  <r>
    <s v="ORD-0348"/>
    <x v="186"/>
    <s v="CUST-0026"/>
    <x v="2"/>
    <x v="0"/>
    <x v="9"/>
    <n v="3"/>
    <n v="220"/>
    <x v="3"/>
    <n v="561"/>
    <n v="74.2"/>
    <x v="0"/>
    <x v="1"/>
    <n v="0.13226381461675579"/>
  </r>
  <r>
    <s v="ORD-0349"/>
    <x v="229"/>
    <s v="CUST-0045"/>
    <x v="2"/>
    <x v="3"/>
    <x v="6"/>
    <n v="5"/>
    <n v="700"/>
    <x v="4"/>
    <n v="2800"/>
    <n v="333"/>
    <x v="2"/>
    <x v="0"/>
    <n v="0.11892857142857143"/>
  </r>
  <r>
    <s v="ORD-0350"/>
    <x v="114"/>
    <s v="CUST-0085"/>
    <x v="3"/>
    <x v="1"/>
    <x v="3"/>
    <n v="3"/>
    <n v="2500"/>
    <x v="1"/>
    <n v="6750"/>
    <n v="325.60000000000002"/>
    <x v="3"/>
    <x v="1"/>
    <n v="4.823703703703704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CD5A6-3FB8-456D-B30D-EEE1B73FCD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I3:L8"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showAll="0"/>
    <pivotField axis="axisRow" showAll="0" defaultSubtotal="0">
      <items count="4">
        <item x="3"/>
        <item x="1"/>
        <item x="2"/>
        <item x="0"/>
      </items>
    </pivotField>
    <pivotField showAll="0"/>
    <pivotField showAll="0"/>
    <pivotField numFmtId="165" showAll="0"/>
    <pivotField numFmtId="9" showAll="0"/>
    <pivotField dataField="1" numFmtId="165" showAll="0"/>
    <pivotField dataField="1" numFmtId="165"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48C40-1733-42EA-A5C2-7122986D1D5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I43:L49"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showAll="0"/>
    <pivotField showAll="0"/>
    <pivotField showAll="0"/>
    <pivotField showAll="0"/>
    <pivotField numFmtId="165" showAll="0"/>
    <pivotField numFmtId="9" showAll="0"/>
    <pivotField dataField="1" numFmtId="165" showAll="0"/>
    <pivotField dataField="1" numFmtId="165" showAll="0"/>
    <pivotField axis="axisRow" showAll="0">
      <items count="6">
        <item x="0"/>
        <item x="4"/>
        <item x="3"/>
        <item x="2"/>
        <item x="1"/>
        <item t="default"/>
      </items>
    </pivotField>
    <pivotField showAll="0"/>
    <pivotField numFmtId="10" showAll="0"/>
    <pivotField showAll="0" defaultSubtotal="0">
      <items count="14">
        <item x="0"/>
        <item x="1"/>
        <item x="2"/>
        <item x="3"/>
        <item x="4"/>
        <item x="5"/>
        <item x="6"/>
        <item x="7"/>
        <item x="8"/>
        <item x="9"/>
        <item x="10"/>
        <item x="11"/>
        <item x="12"/>
        <item x="13"/>
      </items>
    </pivotField>
  </pivotFields>
  <rowFields count="1">
    <field x="11"/>
  </rowFields>
  <rowItems count="6">
    <i>
      <x/>
    </i>
    <i>
      <x v="1"/>
    </i>
    <i>
      <x v="2"/>
    </i>
    <i>
      <x v="3"/>
    </i>
    <i>
      <x v="4"/>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A029B9-9407-4A98-9F77-A6B4E1F72A3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I33:L39"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showAll="0"/>
    <pivotField showAll="0"/>
    <pivotField showAll="0"/>
    <pivotField showAll="0"/>
    <pivotField numFmtId="165" showAll="0"/>
    <pivotField axis="axisRow" numFmtId="9" showAll="0">
      <items count="6">
        <item x="2"/>
        <item x="0"/>
        <item x="1"/>
        <item x="3"/>
        <item x="4"/>
        <item t="default"/>
      </items>
    </pivotField>
    <pivotField dataField="1" numFmtId="165" showAll="0"/>
    <pivotField dataField="1" numFmtId="165"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12982-1D4D-4A4C-AC38-331EAC8BC7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D9"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axis="axisRow" showAll="0">
      <items count="6">
        <item x="2"/>
        <item x="0"/>
        <item x="3"/>
        <item x="4"/>
        <item x="1"/>
        <item t="default"/>
      </items>
    </pivotField>
    <pivotField showAll="0"/>
    <pivotField showAll="0"/>
    <pivotField showAll="0"/>
    <pivotField numFmtId="165" showAll="0"/>
    <pivotField numFmtId="9" showAll="0"/>
    <pivotField dataField="1" numFmtId="165" showAll="0"/>
    <pivotField dataField="1" numFmtId="165"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0E7495-46E9-4346-A270-EC8D942CC97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onths">
  <location ref="A33:D46"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showAll="0"/>
    <pivotField showAll="0"/>
    <pivotField showAll="0"/>
    <pivotField showAll="0"/>
    <pivotField numFmtId="165" showAll="0"/>
    <pivotField numFmtId="9" showAll="0"/>
    <pivotField dataField="1" numFmtId="165" showAll="0"/>
    <pivotField dataField="1" numFmtId="165" showAll="0"/>
    <pivotField showAll="0"/>
    <pivotField showAll="0"/>
    <pivotField numFmtId="10" showAll="0"/>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0" baseItem="0"/>
  </dataFields>
  <chartFormats count="6">
    <chartFormat chart="24"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2"/>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 chart="30"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04D291-E154-4E25-81AE-B9167AA4AB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12:L29"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showAll="0"/>
    <pivotField showAll="0"/>
    <pivotField axis="axisRow" showAll="0">
      <items count="17">
        <item x="11"/>
        <item x="15"/>
        <item x="2"/>
        <item x="3"/>
        <item x="8"/>
        <item x="1"/>
        <item x="14"/>
        <item x="10"/>
        <item x="6"/>
        <item x="0"/>
        <item x="4"/>
        <item x="7"/>
        <item x="12"/>
        <item x="9"/>
        <item x="13"/>
        <item x="5"/>
        <item t="default"/>
      </items>
    </pivotField>
    <pivotField showAll="0"/>
    <pivotField numFmtId="165" showAll="0"/>
    <pivotField numFmtId="9" showAll="0"/>
    <pivotField dataField="1" numFmtId="165" showAll="0"/>
    <pivotField dataField="1" numFmtId="165"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EE5420-C41F-47AF-8655-54F252716F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_Channel">
  <location ref="A12:D15" firstHeaderRow="0" firstDataRow="1" firstDataCol="1"/>
  <pivotFields count="15">
    <pivotField dataField="1" showAll="0"/>
    <pivotField numFmtId="164" showAll="0">
      <items count="231">
        <item x="176"/>
        <item x="221"/>
        <item x="56"/>
        <item x="129"/>
        <item x="167"/>
        <item x="43"/>
        <item x="142"/>
        <item x="196"/>
        <item x="229"/>
        <item x="213"/>
        <item x="81"/>
        <item x="150"/>
        <item x="23"/>
        <item x="98"/>
        <item x="21"/>
        <item x="15"/>
        <item x="24"/>
        <item x="95"/>
        <item x="63"/>
        <item x="132"/>
        <item x="77"/>
        <item x="66"/>
        <item x="223"/>
        <item x="212"/>
        <item x="138"/>
        <item x="204"/>
        <item x="70"/>
        <item x="6"/>
        <item x="184"/>
        <item x="186"/>
        <item x="38"/>
        <item x="75"/>
        <item x="197"/>
        <item x="26"/>
        <item x="74"/>
        <item x="199"/>
        <item x="145"/>
        <item x="143"/>
        <item x="218"/>
        <item x="201"/>
        <item x="151"/>
        <item x="165"/>
        <item x="110"/>
        <item x="22"/>
        <item x="67"/>
        <item x="131"/>
        <item x="78"/>
        <item x="226"/>
        <item x="11"/>
        <item x="25"/>
        <item x="65"/>
        <item x="200"/>
        <item x="14"/>
        <item x="34"/>
        <item x="203"/>
        <item x="154"/>
        <item x="214"/>
        <item x="211"/>
        <item x="159"/>
        <item x="180"/>
        <item x="106"/>
        <item x="163"/>
        <item x="181"/>
        <item x="168"/>
        <item x="41"/>
        <item x="216"/>
        <item x="227"/>
        <item x="27"/>
        <item x="192"/>
        <item x="42"/>
        <item x="9"/>
        <item x="210"/>
        <item x="45"/>
        <item x="190"/>
        <item x="219"/>
        <item x="207"/>
        <item x="80"/>
        <item x="130"/>
        <item x="172"/>
        <item x="20"/>
        <item x="120"/>
        <item x="64"/>
        <item x="136"/>
        <item x="39"/>
        <item x="90"/>
        <item x="13"/>
        <item x="30"/>
        <item x="35"/>
        <item x="161"/>
        <item x="61"/>
        <item x="228"/>
        <item x="58"/>
        <item x="217"/>
        <item x="29"/>
        <item x="87"/>
        <item x="185"/>
        <item x="135"/>
        <item x="124"/>
        <item x="156"/>
        <item x="141"/>
        <item x="93"/>
        <item x="36"/>
        <item x="149"/>
        <item x="123"/>
        <item x="55"/>
        <item x="112"/>
        <item x="188"/>
        <item x="158"/>
        <item x="144"/>
        <item x="89"/>
        <item x="96"/>
        <item x="220"/>
        <item x="32"/>
        <item x="187"/>
        <item x="162"/>
        <item x="191"/>
        <item x="115"/>
        <item x="37"/>
        <item x="117"/>
        <item x="103"/>
        <item x="133"/>
        <item x="4"/>
        <item x="183"/>
        <item x="152"/>
        <item x="225"/>
        <item x="127"/>
        <item x="177"/>
        <item x="107"/>
        <item x="111"/>
        <item x="126"/>
        <item x="222"/>
        <item x="173"/>
        <item x="209"/>
        <item x="114"/>
        <item x="140"/>
        <item x="137"/>
        <item x="72"/>
        <item x="49"/>
        <item x="189"/>
        <item x="171"/>
        <item x="108"/>
        <item x="53"/>
        <item x="100"/>
        <item x="105"/>
        <item x="101"/>
        <item x="102"/>
        <item x="128"/>
        <item x="17"/>
        <item x="46"/>
        <item x="169"/>
        <item x="60"/>
        <item x="99"/>
        <item x="147"/>
        <item x="85"/>
        <item x="28"/>
        <item x="205"/>
        <item x="148"/>
        <item x="52"/>
        <item x="62"/>
        <item x="157"/>
        <item x="54"/>
        <item x="202"/>
        <item x="175"/>
        <item x="76"/>
        <item x="51"/>
        <item x="119"/>
        <item x="170"/>
        <item x="153"/>
        <item x="19"/>
        <item x="59"/>
        <item x="47"/>
        <item x="57"/>
        <item x="109"/>
        <item x="179"/>
        <item x="178"/>
        <item x="155"/>
        <item x="125"/>
        <item x="174"/>
        <item x="48"/>
        <item x="206"/>
        <item x="16"/>
        <item x="5"/>
        <item x="12"/>
        <item x="195"/>
        <item x="91"/>
        <item x="122"/>
        <item x="146"/>
        <item x="82"/>
        <item x="160"/>
        <item x="164"/>
        <item x="50"/>
        <item x="69"/>
        <item x="83"/>
        <item x="10"/>
        <item x="94"/>
        <item x="18"/>
        <item x="1"/>
        <item x="224"/>
        <item x="68"/>
        <item x="7"/>
        <item x="92"/>
        <item x="139"/>
        <item x="113"/>
        <item x="79"/>
        <item x="73"/>
        <item x="88"/>
        <item x="121"/>
        <item x="198"/>
        <item x="208"/>
        <item x="0"/>
        <item x="134"/>
        <item x="118"/>
        <item x="215"/>
        <item x="2"/>
        <item x="166"/>
        <item x="116"/>
        <item x="104"/>
        <item x="97"/>
        <item x="40"/>
        <item x="193"/>
        <item x="194"/>
        <item x="84"/>
        <item x="8"/>
        <item x="31"/>
        <item x="33"/>
        <item x="71"/>
        <item x="44"/>
        <item x="3"/>
        <item x="86"/>
        <item x="182"/>
        <item t="default"/>
      </items>
    </pivotField>
    <pivotField showAll="0"/>
    <pivotField showAll="0"/>
    <pivotField showAll="0"/>
    <pivotField showAll="0"/>
    <pivotField showAll="0"/>
    <pivotField numFmtId="165" showAll="0"/>
    <pivotField numFmtId="9" showAll="0"/>
    <pivotField dataField="1" numFmtId="165" showAll="0"/>
    <pivotField dataField="1" numFmtId="165" showAll="0"/>
    <pivotField showAll="0"/>
    <pivotField axis="axisRow" showAll="0">
      <items count="3">
        <item x="0"/>
        <item x="1"/>
        <item t="default"/>
      </items>
    </pivotField>
    <pivotField numFmtId="10" showAll="0"/>
    <pivotField showAll="0">
      <items count="15">
        <item x="0"/>
        <item x="1"/>
        <item x="2"/>
        <item x="3"/>
        <item x="4"/>
        <item x="5"/>
        <item x="6"/>
        <item x="7"/>
        <item x="8"/>
        <item x="9"/>
        <item x="10"/>
        <item x="11"/>
        <item x="12"/>
        <item x="13"/>
        <item t="default"/>
      </items>
    </pivotField>
  </pivotFields>
  <rowFields count="1">
    <field x="12"/>
  </rowFields>
  <rowItems count="3">
    <i>
      <x/>
    </i>
    <i>
      <x v="1"/>
    </i>
    <i t="grand">
      <x/>
    </i>
  </rowItems>
  <colFields count="1">
    <field x="-2"/>
  </colFields>
  <colItems count="3">
    <i>
      <x/>
    </i>
    <i i="1">
      <x v="1"/>
    </i>
    <i i="2">
      <x v="2"/>
    </i>
  </colItems>
  <dataFields count="3">
    <dataField name="Sum of Sales" fld="9" baseField="0" baseItem="0" numFmtId="165"/>
    <dataField name="Sum of Profit" fld="10" baseField="0" baseItem="0" numFmtId="165"/>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D45531-D32D-4F55-A2AB-8611BD7F9565}" name="SalesData" displayName="SalesData" ref="A1:N351" totalsRowShown="0">
  <autoFilter ref="A1:N351" xr:uid="{00000000-000C-0000-FFFF-FFFF00000000}"/>
  <sortState xmlns:xlrd2="http://schemas.microsoft.com/office/spreadsheetml/2017/richdata2" ref="A2:M351">
    <sortCondition ref="A1:A351"/>
  </sortState>
  <tableColumns count="14">
    <tableColumn id="1" xr3:uid="{B868CC16-0DB3-4F14-8E8A-1BC4E3EE02FF}" name="Order_ID"/>
    <tableColumn id="2" xr3:uid="{6FD428E6-2C6A-4FB3-81A5-CE4BE28E8D1F}" name="Order_Date"/>
    <tableColumn id="3" xr3:uid="{0CE6BA09-9CB8-4F81-AE50-836924672A23}" name="Customer_ID"/>
    <tableColumn id="4" xr3:uid="{40CDB16F-7EC6-47D9-824C-ED17862405A3}" name="Region"/>
    <tableColumn id="5" xr3:uid="{C772BE7C-4AE2-4FC1-A8D9-0635371EC90A}" name="Category"/>
    <tableColumn id="6" xr3:uid="{DEE7287C-10A6-46F3-918B-3F3BDD753546}" name="Product"/>
    <tableColumn id="7" xr3:uid="{66B1A108-BE7B-4761-9EA5-55B8DC71E780}" name="Quantity"/>
    <tableColumn id="8" xr3:uid="{3BB248C5-4E09-40A1-8E81-D4C3AE46F56E}" name="Unit_Price"/>
    <tableColumn id="9" xr3:uid="{65D802C6-9822-41A9-A34A-D8F13013715A}" name="Discount"/>
    <tableColumn id="10" xr3:uid="{8B3E48A8-7215-4F88-B0C7-093C4050808E}" name="Sales"/>
    <tableColumn id="11" xr3:uid="{A6CF51A7-120C-4E77-B08A-7D6D2AC412F3}" name="Profit"/>
    <tableColumn id="12" xr3:uid="{EC675CD7-8D81-4542-A81E-0BF24DA8BEBF}" name="Payment_Method"/>
    <tableColumn id="13" xr3:uid="{F715643D-9DA0-45BA-BD15-F44256E70EC0}" name="Sales_Channel"/>
    <tableColumn id="18" xr3:uid="{497C5B3B-301C-4D0C-8E4A-AC3B5BA76F7F}" name="Profit_Margin" dataDxfId="12">
      <calculatedColumnFormula>SalesData[[#This Row],[Profit]]/SalesData[[#This Row],[Sales]]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lesTable" displayName="RawSalesTable" ref="A1:M351" totalsRowShown="0">
  <autoFilter ref="A1:M351" xr:uid="{00000000-000C-0000-FFFF-FFFF00000000}"/>
  <tableColumns count="13">
    <tableColumn id="1" xr3:uid="{00000000-0010-0000-0000-000001000000}" name="Order_ID"/>
    <tableColumn id="2" xr3:uid="{00000000-0010-0000-0000-000002000000}" name="Order_Date"/>
    <tableColumn id="3" xr3:uid="{00000000-0010-0000-0000-000003000000}" name="Customer_ID"/>
    <tableColumn id="4" xr3:uid="{00000000-0010-0000-0000-000004000000}" name="Region"/>
    <tableColumn id="5" xr3:uid="{00000000-0010-0000-0000-000005000000}" name="Category"/>
    <tableColumn id="6" xr3:uid="{00000000-0010-0000-0000-000006000000}" name="Product"/>
    <tableColumn id="7" xr3:uid="{00000000-0010-0000-0000-000007000000}" name="Quantity"/>
    <tableColumn id="8" xr3:uid="{00000000-0010-0000-0000-000008000000}" name="Unit_Price"/>
    <tableColumn id="9" xr3:uid="{00000000-0010-0000-0000-000009000000}" name="Discount"/>
    <tableColumn id="10" xr3:uid="{00000000-0010-0000-0000-00000A000000}" name="Sales"/>
    <tableColumn id="11" xr3:uid="{00000000-0010-0000-0000-00000B000000}" name="Profit"/>
    <tableColumn id="12" xr3:uid="{00000000-0010-0000-0000-00000C000000}" name="Payment_Method"/>
    <tableColumn id="13" xr3:uid="{00000000-0010-0000-0000-00000D000000}" name="Sales_Channe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BFEF6-F067-45DE-A7AA-368799C4D163}">
  <dimension ref="A1:O94"/>
  <sheetViews>
    <sheetView showGridLines="0" topLeftCell="A44" zoomScale="95" zoomScaleNormal="95" workbookViewId="0">
      <selection activeCell="F3" sqref="F3"/>
    </sheetView>
  </sheetViews>
  <sheetFormatPr defaultRowHeight="13.8"/>
  <sheetData>
    <row r="1" spans="1:15" ht="13.8" customHeight="1">
      <c r="A1" s="18"/>
      <c r="B1" s="18"/>
      <c r="L1" s="18"/>
      <c r="M1" s="18"/>
      <c r="N1" s="18"/>
      <c r="O1" s="18"/>
    </row>
    <row r="2" spans="1:15" ht="17.399999999999999" customHeight="1">
      <c r="A2" s="18"/>
      <c r="B2" s="18"/>
      <c r="E2" s="29" t="s">
        <v>621</v>
      </c>
      <c r="F2" s="30"/>
      <c r="G2" s="30"/>
      <c r="H2" s="30"/>
      <c r="I2" s="30"/>
      <c r="J2" s="30"/>
      <c r="K2" s="30"/>
      <c r="L2" s="18"/>
      <c r="M2" s="18"/>
      <c r="N2" s="18"/>
      <c r="O2" s="18"/>
    </row>
    <row r="3" spans="1:15" ht="17.399999999999999">
      <c r="E3" s="31" t="s">
        <v>622</v>
      </c>
      <c r="F3" s="30"/>
      <c r="G3" s="30"/>
      <c r="H3" s="30"/>
      <c r="I3" s="30"/>
      <c r="J3" s="30"/>
      <c r="K3" s="30"/>
    </row>
    <row r="4" spans="1:15" s="18" customFormat="1"/>
    <row r="5" spans="1:15" s="18" customFormat="1"/>
    <row r="6" spans="1:15" ht="15.6">
      <c r="A6" s="21" t="s">
        <v>623</v>
      </c>
      <c r="B6" s="22"/>
      <c r="C6" s="22"/>
      <c r="D6" s="21" t="s">
        <v>624</v>
      </c>
      <c r="E6" s="22"/>
      <c r="F6" s="22"/>
      <c r="G6" s="21" t="s">
        <v>625</v>
      </c>
      <c r="H6" s="22"/>
      <c r="I6" s="22"/>
      <c r="J6" s="21" t="s">
        <v>626</v>
      </c>
      <c r="K6" s="22"/>
      <c r="L6" s="22"/>
      <c r="M6" s="25" t="s">
        <v>627</v>
      </c>
      <c r="N6" s="26"/>
      <c r="O6" s="26"/>
    </row>
    <row r="7" spans="1:15" ht="22.8">
      <c r="A7" s="23">
        <f>Analysis!B2</f>
        <v>6502061.5</v>
      </c>
      <c r="B7" s="23"/>
      <c r="C7" s="23"/>
      <c r="D7" s="23">
        <f>Analysis!B3</f>
        <v>809241.08999999973</v>
      </c>
      <c r="E7" s="23"/>
      <c r="F7" s="23"/>
      <c r="G7" s="24">
        <f>Analysis!B4</f>
        <v>350</v>
      </c>
      <c r="H7" s="24"/>
      <c r="I7" s="24"/>
      <c r="J7" s="23">
        <f>Analysis!B5</f>
        <v>18577.318571428572</v>
      </c>
      <c r="K7" s="23"/>
      <c r="L7" s="23"/>
      <c r="M7" s="27">
        <f>Analysis!B6</f>
        <v>0.12445915653058645</v>
      </c>
      <c r="N7" s="28"/>
      <c r="O7" s="28"/>
    </row>
    <row r="65" spans="1:14">
      <c r="A65" s="17" t="s">
        <v>628</v>
      </c>
    </row>
    <row r="68" spans="1:14" ht="24.6">
      <c r="A68" s="49" t="s">
        <v>629</v>
      </c>
      <c r="B68" s="50"/>
      <c r="C68" s="50"/>
      <c r="D68" s="50"/>
      <c r="E68" s="50"/>
      <c r="F68" s="50"/>
      <c r="G68" s="50"/>
      <c r="H68" s="50"/>
      <c r="I68" s="50"/>
      <c r="J68" s="50"/>
      <c r="K68" s="50"/>
      <c r="L68" s="50"/>
      <c r="M68" s="50"/>
      <c r="N68" s="50"/>
    </row>
    <row r="69" spans="1:14" ht="13.8" customHeight="1">
      <c r="A69" s="32" t="s">
        <v>630</v>
      </c>
      <c r="B69" s="33"/>
      <c r="C69" s="33"/>
      <c r="D69" s="33"/>
      <c r="E69" s="33"/>
      <c r="F69" s="33"/>
      <c r="G69" s="33"/>
      <c r="H69" s="33"/>
      <c r="I69" s="33"/>
      <c r="J69" s="33"/>
      <c r="K69" s="33"/>
      <c r="L69" s="33"/>
      <c r="M69" s="33"/>
      <c r="N69" s="34"/>
    </row>
    <row r="70" spans="1:14">
      <c r="A70" s="35"/>
      <c r="B70" s="36"/>
      <c r="C70" s="36"/>
      <c r="D70" s="36"/>
      <c r="E70" s="36"/>
      <c r="F70" s="36"/>
      <c r="G70" s="36"/>
      <c r="H70" s="36"/>
      <c r="I70" s="36"/>
      <c r="J70" s="36"/>
      <c r="K70" s="36"/>
      <c r="L70" s="36"/>
      <c r="M70" s="36"/>
      <c r="N70" s="37"/>
    </row>
    <row r="71" spans="1:14">
      <c r="A71" s="38"/>
      <c r="B71" s="39"/>
      <c r="C71" s="39"/>
      <c r="D71" s="39"/>
      <c r="E71" s="39"/>
      <c r="F71" s="39"/>
      <c r="G71" s="39"/>
      <c r="H71" s="39"/>
      <c r="I71" s="39"/>
      <c r="J71" s="39"/>
      <c r="K71" s="39"/>
      <c r="L71" s="39"/>
      <c r="M71" s="39"/>
      <c r="N71" s="40"/>
    </row>
    <row r="72" spans="1:14">
      <c r="A72" s="32" t="s">
        <v>631</v>
      </c>
      <c r="B72" s="33"/>
      <c r="C72" s="33"/>
      <c r="D72" s="33"/>
      <c r="E72" s="33"/>
      <c r="F72" s="33"/>
      <c r="G72" s="33"/>
      <c r="H72" s="33"/>
      <c r="I72" s="33"/>
      <c r="J72" s="33"/>
      <c r="K72" s="33"/>
      <c r="L72" s="33"/>
      <c r="M72" s="33"/>
      <c r="N72" s="34"/>
    </row>
    <row r="73" spans="1:14">
      <c r="A73" s="35"/>
      <c r="B73" s="36"/>
      <c r="C73" s="36"/>
      <c r="D73" s="36"/>
      <c r="E73" s="36"/>
      <c r="F73" s="36"/>
      <c r="G73" s="36"/>
      <c r="H73" s="36"/>
      <c r="I73" s="36"/>
      <c r="J73" s="36"/>
      <c r="K73" s="36"/>
      <c r="L73" s="36"/>
      <c r="M73" s="36"/>
      <c r="N73" s="37"/>
    </row>
    <row r="74" spans="1:14">
      <c r="A74" s="38"/>
      <c r="B74" s="39"/>
      <c r="C74" s="39"/>
      <c r="D74" s="39"/>
      <c r="E74" s="39"/>
      <c r="F74" s="39"/>
      <c r="G74" s="39"/>
      <c r="H74" s="39"/>
      <c r="I74" s="39"/>
      <c r="J74" s="39"/>
      <c r="K74" s="39"/>
      <c r="L74" s="39"/>
      <c r="M74" s="39"/>
      <c r="N74" s="40"/>
    </row>
    <row r="75" spans="1:14">
      <c r="A75" s="32" t="s">
        <v>632</v>
      </c>
      <c r="B75" s="33"/>
      <c r="C75" s="33"/>
      <c r="D75" s="33"/>
      <c r="E75" s="33"/>
      <c r="F75" s="33"/>
      <c r="G75" s="33"/>
      <c r="H75" s="33"/>
      <c r="I75" s="33"/>
      <c r="J75" s="33"/>
      <c r="K75" s="33"/>
      <c r="L75" s="33"/>
      <c r="M75" s="33"/>
      <c r="N75" s="34"/>
    </row>
    <row r="76" spans="1:14">
      <c r="A76" s="35"/>
      <c r="B76" s="36"/>
      <c r="C76" s="36"/>
      <c r="D76" s="36"/>
      <c r="E76" s="36"/>
      <c r="F76" s="36"/>
      <c r="G76" s="36"/>
      <c r="H76" s="36"/>
      <c r="I76" s="36"/>
      <c r="J76" s="36"/>
      <c r="K76" s="36"/>
      <c r="L76" s="36"/>
      <c r="M76" s="36"/>
      <c r="N76" s="37"/>
    </row>
    <row r="77" spans="1:14">
      <c r="A77" s="38"/>
      <c r="B77" s="39"/>
      <c r="C77" s="39"/>
      <c r="D77" s="39"/>
      <c r="E77" s="39"/>
      <c r="F77" s="39"/>
      <c r="G77" s="39"/>
      <c r="H77" s="39"/>
      <c r="I77" s="39"/>
      <c r="J77" s="39"/>
      <c r="K77" s="39"/>
      <c r="L77" s="39"/>
      <c r="M77" s="39"/>
      <c r="N77" s="40"/>
    </row>
    <row r="78" spans="1:14">
      <c r="A78" s="41" t="s">
        <v>633</v>
      </c>
      <c r="B78" s="42"/>
      <c r="C78" s="42"/>
      <c r="D78" s="42"/>
      <c r="E78" s="42"/>
      <c r="F78" s="42"/>
      <c r="G78" s="42"/>
      <c r="H78" s="42"/>
      <c r="I78" s="42"/>
      <c r="J78" s="42"/>
      <c r="K78" s="42"/>
      <c r="L78" s="42"/>
      <c r="M78" s="42"/>
      <c r="N78" s="43"/>
    </row>
    <row r="79" spans="1:14">
      <c r="A79" s="44"/>
      <c r="B79" s="20"/>
      <c r="C79" s="20"/>
      <c r="D79" s="20"/>
      <c r="E79" s="20"/>
      <c r="F79" s="20"/>
      <c r="G79" s="20"/>
      <c r="H79" s="20"/>
      <c r="I79" s="20"/>
      <c r="J79" s="20"/>
      <c r="K79" s="20"/>
      <c r="L79" s="20"/>
      <c r="M79" s="20"/>
      <c r="N79" s="45"/>
    </row>
    <row r="80" spans="1:14">
      <c r="A80" s="46"/>
      <c r="B80" s="47"/>
      <c r="C80" s="47"/>
      <c r="D80" s="47"/>
      <c r="E80" s="47"/>
      <c r="F80" s="47"/>
      <c r="G80" s="47"/>
      <c r="H80" s="47"/>
      <c r="I80" s="47"/>
      <c r="J80" s="47"/>
      <c r="K80" s="47"/>
      <c r="L80" s="47"/>
      <c r="M80" s="47"/>
      <c r="N80" s="48"/>
    </row>
    <row r="82" spans="1:14" ht="22.8">
      <c r="A82" s="51" t="s">
        <v>634</v>
      </c>
      <c r="B82" s="50"/>
      <c r="C82" s="50"/>
      <c r="D82" s="50"/>
      <c r="E82" s="50"/>
      <c r="F82" s="50"/>
      <c r="G82" s="50"/>
      <c r="H82" s="50"/>
      <c r="I82" s="50"/>
      <c r="J82" s="50"/>
      <c r="K82" s="50"/>
      <c r="L82" s="50"/>
      <c r="M82" s="50"/>
      <c r="N82" s="50"/>
    </row>
    <row r="83" spans="1:14">
      <c r="A83" s="32" t="s">
        <v>635</v>
      </c>
      <c r="B83" s="33"/>
      <c r="C83" s="33"/>
      <c r="D83" s="33"/>
      <c r="E83" s="33"/>
      <c r="F83" s="33"/>
      <c r="G83" s="33"/>
      <c r="H83" s="33"/>
      <c r="I83" s="33"/>
      <c r="J83" s="33"/>
      <c r="K83" s="33"/>
      <c r="L83" s="33"/>
      <c r="M83" s="33"/>
      <c r="N83" s="34"/>
    </row>
    <row r="84" spans="1:14">
      <c r="A84" s="35"/>
      <c r="B84" s="36"/>
      <c r="C84" s="36"/>
      <c r="D84" s="36"/>
      <c r="E84" s="36"/>
      <c r="F84" s="36"/>
      <c r="G84" s="36"/>
      <c r="H84" s="36"/>
      <c r="I84" s="36"/>
      <c r="J84" s="36"/>
      <c r="K84" s="36"/>
      <c r="L84" s="36"/>
      <c r="M84" s="36"/>
      <c r="N84" s="37"/>
    </row>
    <row r="85" spans="1:14">
      <c r="A85" s="38"/>
      <c r="B85" s="39"/>
      <c r="C85" s="39"/>
      <c r="D85" s="39"/>
      <c r="E85" s="39"/>
      <c r="F85" s="39"/>
      <c r="G85" s="39"/>
      <c r="H85" s="39"/>
      <c r="I85" s="39"/>
      <c r="J85" s="39"/>
      <c r="K85" s="39"/>
      <c r="L85" s="39"/>
      <c r="M85" s="39"/>
      <c r="N85" s="40"/>
    </row>
    <row r="86" spans="1:14">
      <c r="A86" s="32" t="s">
        <v>636</v>
      </c>
      <c r="B86" s="33"/>
      <c r="C86" s="33"/>
      <c r="D86" s="33"/>
      <c r="E86" s="33"/>
      <c r="F86" s="33"/>
      <c r="G86" s="33"/>
      <c r="H86" s="33"/>
      <c r="I86" s="33"/>
      <c r="J86" s="33"/>
      <c r="K86" s="33"/>
      <c r="L86" s="33"/>
      <c r="M86" s="33"/>
      <c r="N86" s="34"/>
    </row>
    <row r="87" spans="1:14">
      <c r="A87" s="35"/>
      <c r="B87" s="36"/>
      <c r="C87" s="36"/>
      <c r="D87" s="36"/>
      <c r="E87" s="36"/>
      <c r="F87" s="36"/>
      <c r="G87" s="36"/>
      <c r="H87" s="36"/>
      <c r="I87" s="36"/>
      <c r="J87" s="36"/>
      <c r="K87" s="36"/>
      <c r="L87" s="36"/>
      <c r="M87" s="36"/>
      <c r="N87" s="37"/>
    </row>
    <row r="88" spans="1:14">
      <c r="A88" s="38"/>
      <c r="B88" s="39"/>
      <c r="C88" s="39"/>
      <c r="D88" s="39"/>
      <c r="E88" s="39"/>
      <c r="F88" s="39"/>
      <c r="G88" s="39"/>
      <c r="H88" s="39"/>
      <c r="I88" s="39"/>
      <c r="J88" s="39"/>
      <c r="K88" s="39"/>
      <c r="L88" s="39"/>
      <c r="M88" s="39"/>
      <c r="N88" s="40"/>
    </row>
    <row r="89" spans="1:14">
      <c r="A89" s="32" t="s">
        <v>637</v>
      </c>
      <c r="B89" s="33"/>
      <c r="C89" s="33"/>
      <c r="D89" s="33"/>
      <c r="E89" s="33"/>
      <c r="F89" s="33"/>
      <c r="G89" s="33"/>
      <c r="H89" s="33"/>
      <c r="I89" s="33"/>
      <c r="J89" s="33"/>
      <c r="K89" s="33"/>
      <c r="L89" s="33"/>
      <c r="M89" s="33"/>
      <c r="N89" s="34"/>
    </row>
    <row r="90" spans="1:14">
      <c r="A90" s="35"/>
      <c r="B90" s="36"/>
      <c r="C90" s="36"/>
      <c r="D90" s="36"/>
      <c r="E90" s="36"/>
      <c r="F90" s="36"/>
      <c r="G90" s="36"/>
      <c r="H90" s="36"/>
      <c r="I90" s="36"/>
      <c r="J90" s="36"/>
      <c r="K90" s="36"/>
      <c r="L90" s="36"/>
      <c r="M90" s="36"/>
      <c r="N90" s="37"/>
    </row>
    <row r="91" spans="1:14">
      <c r="A91" s="38"/>
      <c r="B91" s="39"/>
      <c r="C91" s="39"/>
      <c r="D91" s="39"/>
      <c r="E91" s="39"/>
      <c r="F91" s="39"/>
      <c r="G91" s="39"/>
      <c r="H91" s="39"/>
      <c r="I91" s="39"/>
      <c r="J91" s="39"/>
      <c r="K91" s="39"/>
      <c r="L91" s="39"/>
      <c r="M91" s="39"/>
      <c r="N91" s="40"/>
    </row>
    <row r="92" spans="1:14">
      <c r="A92" s="32" t="s">
        <v>638</v>
      </c>
      <c r="B92" s="33"/>
      <c r="C92" s="33"/>
      <c r="D92" s="33"/>
      <c r="E92" s="33"/>
      <c r="F92" s="33"/>
      <c r="G92" s="33"/>
      <c r="H92" s="33"/>
      <c r="I92" s="33"/>
      <c r="J92" s="33"/>
      <c r="K92" s="33"/>
      <c r="L92" s="33"/>
      <c r="M92" s="33"/>
      <c r="N92" s="34"/>
    </row>
    <row r="93" spans="1:14">
      <c r="A93" s="35"/>
      <c r="B93" s="36"/>
      <c r="C93" s="36"/>
      <c r="D93" s="36"/>
      <c r="E93" s="36"/>
      <c r="F93" s="36"/>
      <c r="G93" s="36"/>
      <c r="H93" s="36"/>
      <c r="I93" s="36"/>
      <c r="J93" s="36"/>
      <c r="K93" s="36"/>
      <c r="L93" s="36"/>
      <c r="M93" s="36"/>
      <c r="N93" s="37"/>
    </row>
    <row r="94" spans="1:14">
      <c r="A94" s="38"/>
      <c r="B94" s="39"/>
      <c r="C94" s="39"/>
      <c r="D94" s="39"/>
      <c r="E94" s="39"/>
      <c r="F94" s="39"/>
      <c r="G94" s="39"/>
      <c r="H94" s="39"/>
      <c r="I94" s="39"/>
      <c r="J94" s="39"/>
      <c r="K94" s="39"/>
      <c r="L94" s="39"/>
      <c r="M94" s="39"/>
      <c r="N94" s="40"/>
    </row>
  </sheetData>
  <mergeCells count="20">
    <mergeCell ref="A82:N82"/>
    <mergeCell ref="A83:N85"/>
    <mergeCell ref="A86:N88"/>
    <mergeCell ref="A89:N91"/>
    <mergeCell ref="A92:N94"/>
    <mergeCell ref="A69:N71"/>
    <mergeCell ref="A72:N74"/>
    <mergeCell ref="A75:N77"/>
    <mergeCell ref="A78:N80"/>
    <mergeCell ref="J6:L6"/>
    <mergeCell ref="J7:L7"/>
    <mergeCell ref="M6:O6"/>
    <mergeCell ref="M7:O7"/>
    <mergeCell ref="A68:N68"/>
    <mergeCell ref="A6:C6"/>
    <mergeCell ref="A7:C7"/>
    <mergeCell ref="D6:F6"/>
    <mergeCell ref="D7:F7"/>
    <mergeCell ref="G6:I6"/>
    <mergeCell ref="G7:I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1AA7-35D0-416F-B039-C8C4B5B36A79}">
  <dimension ref="A1:B6"/>
  <sheetViews>
    <sheetView workbookViewId="0">
      <selection activeCell="D7" sqref="D7"/>
    </sheetView>
  </sheetViews>
  <sheetFormatPr defaultRowHeight="13.8"/>
  <cols>
    <col min="1" max="1" width="23.3984375" customWidth="1"/>
    <col min="2" max="2" width="19.796875" customWidth="1"/>
  </cols>
  <sheetData>
    <row r="1" spans="1:2">
      <c r="A1" s="52" t="s">
        <v>583</v>
      </c>
      <c r="B1" s="52" t="s">
        <v>584</v>
      </c>
    </row>
    <row r="2" spans="1:2">
      <c r="A2" s="53" t="s">
        <v>585</v>
      </c>
      <c r="B2" s="54">
        <f>SUM(SalesData[Sales])</f>
        <v>6502061.5</v>
      </c>
    </row>
    <row r="3" spans="1:2">
      <c r="A3" s="53" t="s">
        <v>586</v>
      </c>
      <c r="B3" s="54">
        <f>SUM(SalesData[Profit])</f>
        <v>809241.08999999973</v>
      </c>
    </row>
    <row r="4" spans="1:2">
      <c r="A4" s="53" t="s">
        <v>587</v>
      </c>
      <c r="B4" s="55">
        <f>COUNTA(SalesData[Order_ID])</f>
        <v>350</v>
      </c>
    </row>
    <row r="5" spans="1:2">
      <c r="A5" s="53" t="s">
        <v>588</v>
      </c>
      <c r="B5" s="56">
        <f>SUM(SalesData[Sales])/COUNTA(SalesData[Order_ID])</f>
        <v>18577.318571428572</v>
      </c>
    </row>
    <row r="6" spans="1:2">
      <c r="A6" s="53" t="s">
        <v>589</v>
      </c>
      <c r="B6" s="57">
        <f>SUM(SalesData[Profit])/SUM(SalesData[Sales])</f>
        <v>0.12445915653058645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001A-1EF7-415F-87F1-82E450054EDF}">
  <dimension ref="A3:N50"/>
  <sheetViews>
    <sheetView zoomScale="98" zoomScaleNormal="98" workbookViewId="0">
      <pane ySplit="1" topLeftCell="A2" activePane="bottomLeft" state="frozen"/>
      <selection pane="bottomLeft" activeCell="C3" sqref="C3"/>
    </sheetView>
  </sheetViews>
  <sheetFormatPr defaultRowHeight="13.8"/>
  <cols>
    <col min="1" max="1" width="11.3984375" bestFit="1" customWidth="1"/>
    <col min="2" max="3" width="12.3984375" bestFit="1" customWidth="1"/>
    <col min="4" max="4" width="17.3984375" bestFit="1" customWidth="1"/>
    <col min="5" max="5" width="17.8984375" customWidth="1"/>
    <col min="6" max="7" width="22.59765625" style="9" customWidth="1"/>
    <col min="9" max="9" width="13.59765625" bestFit="1" customWidth="1"/>
    <col min="10" max="11" width="12.3984375" bestFit="1" customWidth="1"/>
    <col min="12" max="12" width="17.3984375" bestFit="1" customWidth="1"/>
    <col min="13" max="13" width="23.296875" style="10" customWidth="1"/>
    <col min="14" max="14" width="20.8984375" style="9" customWidth="1"/>
  </cols>
  <sheetData>
    <row r="3" spans="1:14">
      <c r="A3" s="11" t="s">
        <v>28</v>
      </c>
      <c r="B3" t="s">
        <v>578</v>
      </c>
      <c r="C3" t="s">
        <v>577</v>
      </c>
      <c r="D3" t="s">
        <v>575</v>
      </c>
      <c r="E3" t="s">
        <v>590</v>
      </c>
      <c r="F3" s="9" t="s">
        <v>591</v>
      </c>
      <c r="I3" s="11" t="s">
        <v>29</v>
      </c>
      <c r="J3" t="s">
        <v>578</v>
      </c>
      <c r="K3" t="s">
        <v>577</v>
      </c>
      <c r="L3" t="s">
        <v>575</v>
      </c>
      <c r="M3" s="10" t="s">
        <v>592</v>
      </c>
      <c r="N3" s="9" t="s">
        <v>593</v>
      </c>
    </row>
    <row r="4" spans="1:14">
      <c r="A4" s="12" t="s">
        <v>56</v>
      </c>
      <c r="B4" s="7">
        <v>1241286.5</v>
      </c>
      <c r="C4" s="7">
        <v>142704.81000000006</v>
      </c>
      <c r="D4">
        <v>79</v>
      </c>
      <c r="E4" s="10">
        <f>B4/D4</f>
        <v>15712.487341772152</v>
      </c>
      <c r="F4" s="9">
        <f>C4/B4</f>
        <v>0.11496524774900883</v>
      </c>
      <c r="I4" s="12" t="s">
        <v>66</v>
      </c>
      <c r="J4" s="7">
        <v>352320</v>
      </c>
      <c r="K4" s="7">
        <v>43373.25</v>
      </c>
      <c r="L4">
        <v>96</v>
      </c>
      <c r="M4" s="10">
        <f>J4/L4</f>
        <v>3670</v>
      </c>
      <c r="N4" s="9">
        <f>K4/J4</f>
        <v>0.12310754427792915</v>
      </c>
    </row>
    <row r="5" spans="1:14">
      <c r="A5" s="12" t="s">
        <v>40</v>
      </c>
      <c r="B5" s="7">
        <v>2084611.5</v>
      </c>
      <c r="C5" s="7">
        <v>263281.06999999989</v>
      </c>
      <c r="D5">
        <v>87</v>
      </c>
      <c r="E5" s="10">
        <f t="shared" ref="E5:E9" si="0">B5/D5</f>
        <v>23961.051724137931</v>
      </c>
      <c r="F5" s="9">
        <f t="shared" ref="F5:F9" si="1">C5/B5</f>
        <v>0.12629742760221743</v>
      </c>
      <c r="I5" s="12" t="s">
        <v>47</v>
      </c>
      <c r="J5" s="7">
        <v>3848855</v>
      </c>
      <c r="K5" s="7">
        <v>470476.66999999987</v>
      </c>
      <c r="L5">
        <v>79</v>
      </c>
      <c r="M5" s="10">
        <f t="shared" ref="M5:M8" si="2">J5/L5</f>
        <v>48719.6835443038</v>
      </c>
      <c r="N5" s="9">
        <f t="shared" ref="N5:N8" si="3">K5/J5</f>
        <v>0.12223808639192692</v>
      </c>
    </row>
    <row r="6" spans="1:14">
      <c r="A6" s="12" t="s">
        <v>71</v>
      </c>
      <c r="B6" s="7">
        <v>1194332.5</v>
      </c>
      <c r="C6" s="7">
        <v>138774.53000000003</v>
      </c>
      <c r="D6">
        <v>83</v>
      </c>
      <c r="E6" s="10">
        <f t="shared" si="0"/>
        <v>14389.548192771084</v>
      </c>
      <c r="F6" s="9">
        <f t="shared" si="1"/>
        <v>0.11619421727199086</v>
      </c>
      <c r="I6" s="12" t="s">
        <v>53</v>
      </c>
      <c r="J6" s="7">
        <v>2139770</v>
      </c>
      <c r="K6" s="7">
        <v>275807.17000000004</v>
      </c>
      <c r="L6">
        <v>75</v>
      </c>
      <c r="M6" s="10">
        <f t="shared" si="2"/>
        <v>28530.266666666666</v>
      </c>
      <c r="N6" s="9">
        <f t="shared" si="3"/>
        <v>0.12889570841725981</v>
      </c>
    </row>
    <row r="7" spans="1:14">
      <c r="A7" s="12" t="s">
        <v>579</v>
      </c>
      <c r="B7" s="7">
        <v>55676</v>
      </c>
      <c r="C7" s="7">
        <v>9435.49</v>
      </c>
      <c r="D7">
        <v>3</v>
      </c>
      <c r="E7" s="10">
        <f t="shared" si="0"/>
        <v>18558.666666666668</v>
      </c>
      <c r="F7" s="9">
        <f t="shared" si="1"/>
        <v>0.16947140599180976</v>
      </c>
      <c r="I7" s="12" t="s">
        <v>41</v>
      </c>
      <c r="J7" s="7">
        <v>161116.5</v>
      </c>
      <c r="K7" s="7">
        <v>19583.999999999985</v>
      </c>
      <c r="L7">
        <v>100</v>
      </c>
      <c r="M7" s="10">
        <f t="shared" si="2"/>
        <v>1611.165</v>
      </c>
      <c r="N7" s="9">
        <f t="shared" si="3"/>
        <v>0.12155179637094889</v>
      </c>
    </row>
    <row r="8" spans="1:14">
      <c r="A8" s="12" t="s">
        <v>52</v>
      </c>
      <c r="B8" s="7">
        <v>1926155</v>
      </c>
      <c r="C8" s="7">
        <v>255045.19000000003</v>
      </c>
      <c r="D8">
        <v>98</v>
      </c>
      <c r="E8" s="10">
        <f t="shared" si="0"/>
        <v>19654.642857142859</v>
      </c>
      <c r="F8" s="9">
        <f t="shared" si="1"/>
        <v>0.13241156085569439</v>
      </c>
      <c r="I8" s="12" t="s">
        <v>576</v>
      </c>
      <c r="J8" s="7">
        <v>6502061.5</v>
      </c>
      <c r="K8" s="7">
        <v>809241.08999999973</v>
      </c>
      <c r="L8">
        <v>350</v>
      </c>
      <c r="M8" s="10">
        <f t="shared" si="2"/>
        <v>18577.318571428572</v>
      </c>
      <c r="N8" s="9">
        <f t="shared" si="3"/>
        <v>0.12445915653058645</v>
      </c>
    </row>
    <row r="9" spans="1:14">
      <c r="A9" s="12" t="s">
        <v>576</v>
      </c>
      <c r="B9" s="7">
        <v>6502061.5</v>
      </c>
      <c r="C9" s="7">
        <v>809241.09000000008</v>
      </c>
      <c r="D9">
        <v>350</v>
      </c>
      <c r="E9" s="10">
        <f t="shared" si="0"/>
        <v>18577.318571428572</v>
      </c>
      <c r="F9" s="9">
        <f t="shared" si="1"/>
        <v>0.12445915653058651</v>
      </c>
    </row>
    <row r="12" spans="1:14">
      <c r="A12" s="11" t="s">
        <v>37</v>
      </c>
      <c r="B12" t="s">
        <v>578</v>
      </c>
      <c r="C12" t="s">
        <v>577</v>
      </c>
      <c r="D12" t="s">
        <v>575</v>
      </c>
      <c r="E12" t="s">
        <v>594</v>
      </c>
      <c r="F12" s="9" t="s">
        <v>595</v>
      </c>
      <c r="I12" s="11" t="s">
        <v>30</v>
      </c>
      <c r="J12" t="s">
        <v>578</v>
      </c>
      <c r="K12" t="s">
        <v>577</v>
      </c>
      <c r="L12" t="s">
        <v>575</v>
      </c>
      <c r="M12" s="10" t="s">
        <v>596</v>
      </c>
      <c r="N12" s="9" t="s">
        <v>597</v>
      </c>
    </row>
    <row r="13" spans="1:14">
      <c r="A13" s="12" t="s">
        <v>44</v>
      </c>
      <c r="B13" s="7">
        <v>3485907.5</v>
      </c>
      <c r="C13" s="7">
        <v>469770.13000000018</v>
      </c>
      <c r="D13">
        <v>183</v>
      </c>
      <c r="E13" s="10">
        <f>B13/D13</f>
        <v>19048.67486338798</v>
      </c>
      <c r="F13" s="9">
        <f>C13/B13</f>
        <v>0.13476264932445861</v>
      </c>
      <c r="I13" s="12" t="s">
        <v>119</v>
      </c>
      <c r="J13" s="7">
        <v>413400</v>
      </c>
      <c r="K13" s="7">
        <v>54493.1</v>
      </c>
      <c r="L13">
        <v>18</v>
      </c>
      <c r="M13" s="10">
        <f>J13/L13</f>
        <v>22966.666666666668</v>
      </c>
      <c r="N13" s="9">
        <f>K13/J13</f>
        <v>0.13181688437348815</v>
      </c>
    </row>
    <row r="14" spans="1:14">
      <c r="A14" s="12" t="s">
        <v>75</v>
      </c>
      <c r="B14" s="7">
        <v>3016154</v>
      </c>
      <c r="C14" s="7">
        <v>339470.95999999985</v>
      </c>
      <c r="D14">
        <v>167</v>
      </c>
      <c r="E14" s="10">
        <f t="shared" ref="E14:E15" si="4">B14/D14</f>
        <v>18060.802395209579</v>
      </c>
      <c r="F14" s="9">
        <f t="shared" ref="F14:F15" si="5">C14/B14</f>
        <v>0.11255093738582309</v>
      </c>
      <c r="I14" s="12" t="s">
        <v>162</v>
      </c>
      <c r="J14" s="7">
        <v>720000</v>
      </c>
      <c r="K14" s="7">
        <v>106866.63000000002</v>
      </c>
      <c r="L14">
        <v>18</v>
      </c>
      <c r="M14" s="10">
        <f t="shared" ref="M14:M29" si="6">J14/L14</f>
        <v>40000</v>
      </c>
      <c r="N14" s="9">
        <f t="shared" ref="N14:N29" si="7">K14/J14</f>
        <v>0.14842587500000004</v>
      </c>
    </row>
    <row r="15" spans="1:14">
      <c r="A15" s="12" t="s">
        <v>576</v>
      </c>
      <c r="B15" s="7">
        <v>6502061.5</v>
      </c>
      <c r="C15" s="7">
        <v>809241.09</v>
      </c>
      <c r="D15">
        <v>350</v>
      </c>
      <c r="E15" s="10">
        <f t="shared" si="4"/>
        <v>18577.318571428572</v>
      </c>
      <c r="F15" s="9">
        <f t="shared" si="5"/>
        <v>0.12445915653058649</v>
      </c>
      <c r="I15" s="12" t="s">
        <v>54</v>
      </c>
      <c r="J15" s="7">
        <v>469170</v>
      </c>
      <c r="K15" s="7">
        <v>59036.619999999995</v>
      </c>
      <c r="L15">
        <v>19</v>
      </c>
      <c r="M15" s="10">
        <f t="shared" si="6"/>
        <v>24693.157894736843</v>
      </c>
      <c r="N15" s="9">
        <f t="shared" si="7"/>
        <v>0.12583204382206875</v>
      </c>
    </row>
    <row r="16" spans="1:14">
      <c r="I16" s="12" t="s">
        <v>60</v>
      </c>
      <c r="J16" s="7">
        <v>177625</v>
      </c>
      <c r="K16" s="7">
        <v>24087.009999999995</v>
      </c>
      <c r="L16">
        <v>24</v>
      </c>
      <c r="M16" s="10">
        <f t="shared" si="6"/>
        <v>7401.041666666667</v>
      </c>
      <c r="N16" s="9">
        <f t="shared" si="7"/>
        <v>0.13560596762843066</v>
      </c>
    </row>
    <row r="17" spans="9:14">
      <c r="I17" s="12" t="s">
        <v>88</v>
      </c>
      <c r="J17" s="7">
        <v>79830</v>
      </c>
      <c r="K17" s="7">
        <v>9240.98</v>
      </c>
      <c r="L17">
        <v>12</v>
      </c>
      <c r="M17" s="10">
        <f t="shared" si="6"/>
        <v>6652.5</v>
      </c>
      <c r="N17" s="9">
        <f t="shared" si="7"/>
        <v>0.11575823625203557</v>
      </c>
    </row>
    <row r="18" spans="9:14">
      <c r="I18" s="12" t="s">
        <v>48</v>
      </c>
      <c r="J18" s="7">
        <v>2025400</v>
      </c>
      <c r="K18" s="7">
        <v>261414.98999999996</v>
      </c>
      <c r="L18">
        <v>13</v>
      </c>
      <c r="M18" s="10">
        <f t="shared" si="6"/>
        <v>155800</v>
      </c>
      <c r="N18" s="9">
        <f t="shared" si="7"/>
        <v>0.12906832724400116</v>
      </c>
    </row>
    <row r="19" spans="9:14">
      <c r="I19" s="12" t="s">
        <v>149</v>
      </c>
      <c r="J19" s="7">
        <v>114120</v>
      </c>
      <c r="K19" s="7">
        <v>14024.900000000003</v>
      </c>
      <c r="L19">
        <v>27</v>
      </c>
      <c r="M19" s="10">
        <f t="shared" si="6"/>
        <v>4226.666666666667</v>
      </c>
      <c r="N19" s="9">
        <f t="shared" si="7"/>
        <v>0.12289607430774627</v>
      </c>
    </row>
    <row r="20" spans="9:14">
      <c r="I20" s="12" t="s">
        <v>98</v>
      </c>
      <c r="J20" s="7">
        <v>1566000</v>
      </c>
      <c r="K20" s="7">
        <v>175733.69</v>
      </c>
      <c r="L20">
        <v>30</v>
      </c>
      <c r="M20" s="10">
        <f t="shared" si="6"/>
        <v>52200</v>
      </c>
      <c r="N20" s="9">
        <f t="shared" si="7"/>
        <v>0.11221819284802044</v>
      </c>
    </row>
    <row r="21" spans="9:14">
      <c r="I21" s="12" t="s">
        <v>78</v>
      </c>
      <c r="J21" s="7">
        <v>59850</v>
      </c>
      <c r="K21" s="7">
        <v>8117.7200000000012</v>
      </c>
      <c r="L21">
        <v>23</v>
      </c>
      <c r="M21" s="10">
        <f t="shared" si="6"/>
        <v>2602.1739130434785</v>
      </c>
      <c r="N21" s="9">
        <f t="shared" si="7"/>
        <v>0.13563441938178783</v>
      </c>
    </row>
    <row r="22" spans="9:14">
      <c r="I22" s="12" t="s">
        <v>42</v>
      </c>
      <c r="J22" s="7">
        <v>11166</v>
      </c>
      <c r="K22" s="7">
        <v>1099.46</v>
      </c>
      <c r="L22">
        <v>30</v>
      </c>
      <c r="M22" s="10">
        <f t="shared" si="6"/>
        <v>372.2</v>
      </c>
      <c r="N22" s="9">
        <f t="shared" si="7"/>
        <v>9.8464982984058758E-2</v>
      </c>
    </row>
    <row r="23" spans="9:14">
      <c r="I23" s="12" t="s">
        <v>63</v>
      </c>
      <c r="J23" s="7">
        <v>537200</v>
      </c>
      <c r="K23" s="7">
        <v>55410.819999999992</v>
      </c>
      <c r="L23">
        <v>20</v>
      </c>
      <c r="M23" s="10">
        <f t="shared" si="6"/>
        <v>26860</v>
      </c>
      <c r="N23" s="9">
        <f t="shared" si="7"/>
        <v>0.10314746835443037</v>
      </c>
    </row>
    <row r="24" spans="9:14">
      <c r="I24" s="12" t="s">
        <v>85</v>
      </c>
      <c r="J24" s="7">
        <v>104640</v>
      </c>
      <c r="K24" s="7">
        <v>13019.529999999999</v>
      </c>
      <c r="L24">
        <v>24</v>
      </c>
      <c r="M24" s="10">
        <f t="shared" si="6"/>
        <v>4360</v>
      </c>
      <c r="N24" s="9">
        <f t="shared" si="7"/>
        <v>0.12442211391437308</v>
      </c>
    </row>
    <row r="25" spans="9:14">
      <c r="I25" s="12" t="s">
        <v>121</v>
      </c>
      <c r="J25" s="7">
        <v>26797.5</v>
      </c>
      <c r="K25" s="7">
        <v>3109.6100000000006</v>
      </c>
      <c r="L25">
        <v>20</v>
      </c>
      <c r="M25" s="10">
        <f t="shared" si="6"/>
        <v>1339.875</v>
      </c>
      <c r="N25" s="9">
        <f t="shared" si="7"/>
        <v>0.11604104860528036</v>
      </c>
    </row>
    <row r="26" spans="9:14">
      <c r="I26" s="12" t="s">
        <v>91</v>
      </c>
      <c r="J26" s="7">
        <v>18513</v>
      </c>
      <c r="K26" s="7">
        <v>2355.3999999999996</v>
      </c>
      <c r="L26">
        <v>26</v>
      </c>
      <c r="M26" s="10">
        <f t="shared" si="6"/>
        <v>712.03846153846155</v>
      </c>
      <c r="N26" s="9">
        <f t="shared" si="7"/>
        <v>0.12722951439528979</v>
      </c>
    </row>
    <row r="27" spans="9:14">
      <c r="I27" s="12" t="s">
        <v>135</v>
      </c>
      <c r="J27" s="7">
        <v>60210</v>
      </c>
      <c r="K27" s="7">
        <v>7128.56</v>
      </c>
      <c r="L27">
        <v>22</v>
      </c>
      <c r="M27" s="10">
        <f t="shared" si="6"/>
        <v>2736.818181818182</v>
      </c>
      <c r="N27" s="9">
        <f t="shared" si="7"/>
        <v>0.11839495100481648</v>
      </c>
    </row>
    <row r="28" spans="9:14">
      <c r="I28" s="12" t="s">
        <v>67</v>
      </c>
      <c r="J28" s="7">
        <v>118140</v>
      </c>
      <c r="K28" s="7">
        <v>14102.069999999998</v>
      </c>
      <c r="L28">
        <v>24</v>
      </c>
      <c r="M28" s="10">
        <f t="shared" si="6"/>
        <v>4922.5</v>
      </c>
      <c r="N28" s="9">
        <f t="shared" si="7"/>
        <v>0.11936744540375824</v>
      </c>
    </row>
    <row r="29" spans="9:14">
      <c r="I29" s="12" t="s">
        <v>576</v>
      </c>
      <c r="J29" s="7">
        <v>6502061.5</v>
      </c>
      <c r="K29" s="7">
        <v>809241.08999999962</v>
      </c>
      <c r="L29">
        <v>350</v>
      </c>
      <c r="M29" s="10">
        <f t="shared" si="6"/>
        <v>18577.318571428572</v>
      </c>
      <c r="N29" s="9">
        <f t="shared" si="7"/>
        <v>0.12445915653058644</v>
      </c>
    </row>
    <row r="33" spans="1:14">
      <c r="A33" s="11" t="s">
        <v>610</v>
      </c>
      <c r="B33" t="s">
        <v>578</v>
      </c>
      <c r="C33" t="s">
        <v>577</v>
      </c>
      <c r="D33" t="s">
        <v>575</v>
      </c>
      <c r="E33" t="s">
        <v>613</v>
      </c>
      <c r="F33" s="9" t="s">
        <v>614</v>
      </c>
      <c r="I33" s="11" t="s">
        <v>33</v>
      </c>
      <c r="J33" t="s">
        <v>578</v>
      </c>
      <c r="K33" t="s">
        <v>577</v>
      </c>
      <c r="L33" t="s">
        <v>575</v>
      </c>
      <c r="M33" s="10" t="s">
        <v>611</v>
      </c>
      <c r="N33" s="9" t="s">
        <v>612</v>
      </c>
    </row>
    <row r="34" spans="1:14">
      <c r="A34" s="12" t="s">
        <v>598</v>
      </c>
      <c r="B34" s="7">
        <v>751646</v>
      </c>
      <c r="C34" s="7">
        <v>96153.940000000031</v>
      </c>
      <c r="D34">
        <v>27</v>
      </c>
      <c r="E34" s="10">
        <f>B34/D34</f>
        <v>27838.740740740741</v>
      </c>
      <c r="F34" s="9">
        <f>C34/B34</f>
        <v>0.12792450169361644</v>
      </c>
      <c r="I34" s="13">
        <v>0</v>
      </c>
      <c r="J34" s="7">
        <v>1249840</v>
      </c>
      <c r="K34" s="7">
        <v>211248.58000000002</v>
      </c>
      <c r="L34">
        <v>66</v>
      </c>
      <c r="M34" s="9">
        <f>K34/J34</f>
        <v>0.16902049862382387</v>
      </c>
      <c r="N34" s="10">
        <f>J34/L34</f>
        <v>18936.969696969696</v>
      </c>
    </row>
    <row r="35" spans="1:14">
      <c r="A35" s="12" t="s">
        <v>599</v>
      </c>
      <c r="B35" s="7">
        <v>641929</v>
      </c>
      <c r="C35" s="7">
        <v>87664.670000000013</v>
      </c>
      <c r="D35">
        <v>25</v>
      </c>
      <c r="E35" s="10">
        <f t="shared" ref="E35:E46" si="8">B35/D35</f>
        <v>25677.16</v>
      </c>
      <c r="F35" s="9">
        <f t="shared" ref="F35:F46" si="9">C35/B35</f>
        <v>0.13656443313824429</v>
      </c>
      <c r="I35" s="13">
        <v>0.05</v>
      </c>
      <c r="J35" s="7">
        <v>1033514.5</v>
      </c>
      <c r="K35" s="7">
        <v>133549.09</v>
      </c>
      <c r="L35">
        <v>63</v>
      </c>
      <c r="M35" s="9">
        <f t="shared" ref="M35:M39" si="10">K35/J35</f>
        <v>0.12921839993536616</v>
      </c>
      <c r="N35" s="10">
        <f t="shared" ref="N35:N39" si="11">J35/L35</f>
        <v>16404.992063492064</v>
      </c>
    </row>
    <row r="36" spans="1:14">
      <c r="A36" s="12" t="s">
        <v>600</v>
      </c>
      <c r="B36" s="7">
        <v>793872</v>
      </c>
      <c r="C36" s="7">
        <v>110200.83999999998</v>
      </c>
      <c r="D36">
        <v>42</v>
      </c>
      <c r="E36" s="10">
        <f t="shared" si="8"/>
        <v>18901.714285714286</v>
      </c>
      <c r="F36" s="9">
        <f t="shared" si="9"/>
        <v>0.13881436805933448</v>
      </c>
      <c r="I36" s="13">
        <v>0.1</v>
      </c>
      <c r="J36" s="7">
        <v>1434366</v>
      </c>
      <c r="K36" s="7">
        <v>209233.86000000002</v>
      </c>
      <c r="L36">
        <v>70</v>
      </c>
      <c r="M36" s="9">
        <f t="shared" si="10"/>
        <v>0.14587201592898885</v>
      </c>
      <c r="N36" s="10">
        <f t="shared" si="11"/>
        <v>20490.942857142858</v>
      </c>
    </row>
    <row r="37" spans="1:14">
      <c r="A37" s="12" t="s">
        <v>601</v>
      </c>
      <c r="B37" s="7">
        <v>377306.5</v>
      </c>
      <c r="C37" s="7">
        <v>50406.98</v>
      </c>
      <c r="D37">
        <v>23</v>
      </c>
      <c r="E37" s="10">
        <f t="shared" si="8"/>
        <v>16404.630434782608</v>
      </c>
      <c r="F37" s="9">
        <f t="shared" si="9"/>
        <v>0.133596903313354</v>
      </c>
      <c r="I37" s="13">
        <v>0.15</v>
      </c>
      <c r="J37" s="7">
        <v>1566941</v>
      </c>
      <c r="K37" s="7">
        <v>163035.66000000003</v>
      </c>
      <c r="L37">
        <v>83</v>
      </c>
      <c r="M37" s="9">
        <f t="shared" si="10"/>
        <v>0.10404709558305006</v>
      </c>
      <c r="N37" s="10">
        <f t="shared" si="11"/>
        <v>18878.807228915663</v>
      </c>
    </row>
    <row r="38" spans="1:14">
      <c r="A38" s="12" t="s">
        <v>602</v>
      </c>
      <c r="B38" s="7">
        <v>569946</v>
      </c>
      <c r="C38" s="7">
        <v>49662.69</v>
      </c>
      <c r="D38">
        <v>30</v>
      </c>
      <c r="E38" s="10">
        <f t="shared" si="8"/>
        <v>18998.2</v>
      </c>
      <c r="F38" s="9">
        <f t="shared" si="9"/>
        <v>8.7135781284542746E-2</v>
      </c>
      <c r="I38" s="13">
        <v>0.2</v>
      </c>
      <c r="J38" s="7">
        <v>1217400</v>
      </c>
      <c r="K38" s="7">
        <v>92173.9</v>
      </c>
      <c r="L38">
        <v>68</v>
      </c>
      <c r="M38" s="9">
        <f t="shared" si="10"/>
        <v>7.5713734187612944E-2</v>
      </c>
      <c r="N38" s="10">
        <f t="shared" si="11"/>
        <v>17902.941176470587</v>
      </c>
    </row>
    <row r="39" spans="1:14">
      <c r="A39" s="12" t="s">
        <v>603</v>
      </c>
      <c r="B39" s="7">
        <v>564767.5</v>
      </c>
      <c r="C39" s="7">
        <v>70659.78</v>
      </c>
      <c r="D39">
        <v>35</v>
      </c>
      <c r="E39" s="10">
        <f t="shared" si="8"/>
        <v>16136.214285714286</v>
      </c>
      <c r="F39" s="9">
        <f t="shared" si="9"/>
        <v>0.12511304209254251</v>
      </c>
      <c r="I39" s="13" t="s">
        <v>576</v>
      </c>
      <c r="J39" s="7">
        <v>6502061.5</v>
      </c>
      <c r="K39" s="7">
        <v>809241.0900000002</v>
      </c>
      <c r="L39">
        <v>350</v>
      </c>
      <c r="M39" s="9">
        <f t="shared" si="10"/>
        <v>0.12445915653058652</v>
      </c>
      <c r="N39" s="10">
        <f t="shared" si="11"/>
        <v>18577.318571428572</v>
      </c>
    </row>
    <row r="40" spans="1:14">
      <c r="A40" s="12" t="s">
        <v>604</v>
      </c>
      <c r="B40" s="7">
        <v>372801</v>
      </c>
      <c r="C40" s="7">
        <v>51832.380000000005</v>
      </c>
      <c r="D40">
        <v>26</v>
      </c>
      <c r="E40" s="10">
        <f t="shared" si="8"/>
        <v>14338.5</v>
      </c>
      <c r="F40" s="9">
        <f t="shared" si="9"/>
        <v>0.13903498112934248</v>
      </c>
    </row>
    <row r="41" spans="1:14">
      <c r="A41" s="12" t="s">
        <v>605</v>
      </c>
      <c r="B41" s="7">
        <v>488322.5</v>
      </c>
      <c r="C41" s="7">
        <v>59238.46</v>
      </c>
      <c r="D41">
        <v>30</v>
      </c>
      <c r="E41" s="10">
        <f t="shared" si="8"/>
        <v>16277.416666666666</v>
      </c>
      <c r="F41" s="9">
        <f t="shared" si="9"/>
        <v>0.12131011780124815</v>
      </c>
    </row>
    <row r="42" spans="1:14">
      <c r="A42" s="12" t="s">
        <v>606</v>
      </c>
      <c r="B42" s="7">
        <v>253669</v>
      </c>
      <c r="C42" s="7">
        <v>37936.379999999997</v>
      </c>
      <c r="D42">
        <v>23</v>
      </c>
      <c r="E42" s="10">
        <f t="shared" si="8"/>
        <v>11029.08695652174</v>
      </c>
      <c r="F42" s="9">
        <f t="shared" si="9"/>
        <v>0.14955071372536652</v>
      </c>
    </row>
    <row r="43" spans="1:14">
      <c r="A43" s="12" t="s">
        <v>607</v>
      </c>
      <c r="B43" s="7">
        <v>870920</v>
      </c>
      <c r="C43" s="7">
        <v>105610.30999999998</v>
      </c>
      <c r="D43">
        <v>39</v>
      </c>
      <c r="E43" s="10">
        <f>B43/D43</f>
        <v>22331.282051282051</v>
      </c>
      <c r="F43" s="9">
        <f t="shared" si="9"/>
        <v>0.12126292885684102</v>
      </c>
      <c r="I43" s="11" t="s">
        <v>615</v>
      </c>
      <c r="J43" t="s">
        <v>578</v>
      </c>
      <c r="K43" t="s">
        <v>577</v>
      </c>
      <c r="L43" t="s">
        <v>575</v>
      </c>
      <c r="M43" s="10" t="s">
        <v>616</v>
      </c>
      <c r="N43" s="9" t="s">
        <v>617</v>
      </c>
    </row>
    <row r="44" spans="1:14">
      <c r="A44" s="12" t="s">
        <v>608</v>
      </c>
      <c r="B44" s="7">
        <v>571056.5</v>
      </c>
      <c r="C44" s="7">
        <v>64939.7</v>
      </c>
      <c r="D44">
        <v>24</v>
      </c>
      <c r="E44" s="10">
        <f t="shared" si="8"/>
        <v>23794.020833333332</v>
      </c>
      <c r="F44" s="9">
        <f t="shared" si="9"/>
        <v>0.11371851997131632</v>
      </c>
      <c r="I44" s="12" t="s">
        <v>43</v>
      </c>
      <c r="J44" s="7">
        <v>1093739.5</v>
      </c>
      <c r="K44" s="7">
        <v>137156.19000000006</v>
      </c>
      <c r="L44">
        <v>71</v>
      </c>
      <c r="M44" s="10">
        <f>J44/L44</f>
        <v>15404.781690140846</v>
      </c>
      <c r="N44" s="9">
        <f>K44/J44</f>
        <v>0.12540114899388755</v>
      </c>
    </row>
    <row r="45" spans="1:14">
      <c r="A45" s="12" t="s">
        <v>609</v>
      </c>
      <c r="B45" s="7">
        <v>245825.5</v>
      </c>
      <c r="C45" s="7">
        <v>24934.959999999999</v>
      </c>
      <c r="D45">
        <v>26</v>
      </c>
      <c r="E45" s="10">
        <f t="shared" si="8"/>
        <v>9454.8269230769238</v>
      </c>
      <c r="F45" s="9">
        <f t="shared" si="9"/>
        <v>0.10143357788349866</v>
      </c>
      <c r="I45" s="12" t="s">
        <v>74</v>
      </c>
      <c r="J45" s="7">
        <v>1521221</v>
      </c>
      <c r="K45" s="7">
        <v>175626.62999999995</v>
      </c>
      <c r="L45">
        <v>65</v>
      </c>
      <c r="M45" s="10">
        <f t="shared" ref="M45:M49" si="12">J45/L45</f>
        <v>23403.4</v>
      </c>
      <c r="N45" s="9">
        <f t="shared" ref="N45:N49" si="13">K45/J45</f>
        <v>0.11545109487707568</v>
      </c>
    </row>
    <row r="46" spans="1:14">
      <c r="A46" s="12" t="s">
        <v>576</v>
      </c>
      <c r="B46" s="7">
        <v>6502061.5</v>
      </c>
      <c r="C46" s="7">
        <v>809241.08999999985</v>
      </c>
      <c r="D46">
        <v>350</v>
      </c>
      <c r="E46" s="10">
        <f t="shared" si="8"/>
        <v>18577.318571428572</v>
      </c>
      <c r="F46" s="9">
        <f t="shared" si="9"/>
        <v>0.12445915653058646</v>
      </c>
      <c r="I46" s="12" t="s">
        <v>68</v>
      </c>
      <c r="J46" s="7">
        <v>1281141.5</v>
      </c>
      <c r="K46" s="7">
        <v>176289.11999999994</v>
      </c>
      <c r="L46">
        <v>77</v>
      </c>
      <c r="M46" s="10">
        <f t="shared" si="12"/>
        <v>16638.2012987013</v>
      </c>
      <c r="N46" s="9">
        <f t="shared" si="13"/>
        <v>0.13760316093109148</v>
      </c>
    </row>
    <row r="47" spans="1:14">
      <c r="E47" s="10"/>
      <c r="I47" s="12" t="s">
        <v>57</v>
      </c>
      <c r="J47" s="7">
        <v>1225479</v>
      </c>
      <c r="K47" s="7">
        <v>159942.35</v>
      </c>
      <c r="L47">
        <v>68</v>
      </c>
      <c r="M47" s="10">
        <f t="shared" si="12"/>
        <v>18021.75</v>
      </c>
      <c r="N47" s="9">
        <f t="shared" si="13"/>
        <v>0.1305141499772742</v>
      </c>
    </row>
    <row r="48" spans="1:14">
      <c r="I48" s="12" t="s">
        <v>49</v>
      </c>
      <c r="J48" s="7">
        <v>1380480.5</v>
      </c>
      <c r="K48" s="7">
        <v>160226.79999999999</v>
      </c>
      <c r="L48">
        <v>69</v>
      </c>
      <c r="M48" s="10">
        <f t="shared" si="12"/>
        <v>20006.963768115944</v>
      </c>
      <c r="N48" s="9">
        <f t="shared" si="13"/>
        <v>0.11606596398862569</v>
      </c>
    </row>
    <row r="49" spans="5:14">
      <c r="I49" s="12" t="s">
        <v>576</v>
      </c>
      <c r="J49" s="7">
        <v>6502061.5</v>
      </c>
      <c r="K49" s="7">
        <v>809241.08999999962</v>
      </c>
      <c r="L49">
        <v>350</v>
      </c>
      <c r="M49" s="10">
        <f t="shared" si="12"/>
        <v>18577.318571428572</v>
      </c>
      <c r="N49" s="9">
        <f t="shared" si="13"/>
        <v>0.12445915653058644</v>
      </c>
    </row>
    <row r="50" spans="5:14">
      <c r="E50" s="10"/>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A2711-5B17-4679-8575-82AE5B962878}">
  <dimension ref="A1"/>
  <sheetViews>
    <sheetView topLeftCell="A46" zoomScale="102" zoomScaleNormal="102" workbookViewId="0">
      <selection activeCell="I38" sqref="I38:O53"/>
    </sheetView>
  </sheetViews>
  <sheetFormatPr defaultRowHeight="13.8"/>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895BD-4EC5-43FD-BA23-F769C2D59014}">
  <dimension ref="A1:R13"/>
  <sheetViews>
    <sheetView topLeftCell="B1" workbookViewId="0">
      <selection activeCell="P1" sqref="P1:Q6"/>
    </sheetView>
  </sheetViews>
  <sheetFormatPr defaultRowHeight="13.8"/>
  <cols>
    <col min="2" max="2" width="11.8984375" style="10" bestFit="1" customWidth="1"/>
    <col min="5" max="5" width="13" style="10" bestFit="1" customWidth="1"/>
    <col min="7" max="7" width="15.3984375" customWidth="1"/>
    <col min="8" max="8" width="13" bestFit="1" customWidth="1"/>
    <col min="10" max="10" width="12.8984375" customWidth="1"/>
    <col min="11" max="11" width="16.3984375" customWidth="1"/>
    <col min="14" max="14" width="11.8984375" bestFit="1" customWidth="1"/>
    <col min="17" max="17" width="13" bestFit="1" customWidth="1"/>
  </cols>
  <sheetData>
    <row r="1" spans="1:18">
      <c r="A1" t="s">
        <v>618</v>
      </c>
      <c r="B1" s="10" t="s">
        <v>34</v>
      </c>
      <c r="D1" t="s">
        <v>29</v>
      </c>
      <c r="E1" s="10" t="s">
        <v>34</v>
      </c>
      <c r="G1" t="s">
        <v>619</v>
      </c>
      <c r="H1" t="s">
        <v>34</v>
      </c>
      <c r="J1" t="s">
        <v>29</v>
      </c>
      <c r="K1" t="s">
        <v>35</v>
      </c>
      <c r="M1" t="s">
        <v>33</v>
      </c>
      <c r="N1" t="s">
        <v>620</v>
      </c>
      <c r="P1" t="s">
        <v>28</v>
      </c>
      <c r="Q1" t="s">
        <v>34</v>
      </c>
    </row>
    <row r="2" spans="1:18">
      <c r="A2" t="str">
        <f>Pivot_Analysis!A34</f>
        <v>Jan</v>
      </c>
      <c r="B2" s="10">
        <f>Pivot_Analysis!B34</f>
        <v>751646</v>
      </c>
      <c r="D2" t="str">
        <f>Pivot_Analysis!I4</f>
        <v>Accessories</v>
      </c>
      <c r="E2" s="10">
        <f>Pivot_Analysis!J4</f>
        <v>352320</v>
      </c>
      <c r="G2" t="str">
        <f>Pivot_Analysis!A13</f>
        <v>Online</v>
      </c>
      <c r="H2" s="10">
        <f>Pivot_Analysis!B13</f>
        <v>3485907.5</v>
      </c>
      <c r="J2" t="str">
        <f>Pivot_Analysis!I4</f>
        <v>Accessories</v>
      </c>
      <c r="K2" s="10">
        <f>Pivot_Analysis!K4</f>
        <v>43373.25</v>
      </c>
      <c r="M2" s="8">
        <f>Pivot_Analysis!I34</f>
        <v>0</v>
      </c>
      <c r="N2" s="9">
        <f>Pivot_Analysis!M34</f>
        <v>0.16902049862382387</v>
      </c>
      <c r="P2" t="str">
        <f>Pivot_Analysis!A4</f>
        <v>East</v>
      </c>
      <c r="Q2" s="10">
        <f>Pivot_Analysis!B4</f>
        <v>1241286.5</v>
      </c>
      <c r="R2" s="10"/>
    </row>
    <row r="3" spans="1:18">
      <c r="A3" t="str">
        <f>Pivot_Analysis!A35</f>
        <v>Feb</v>
      </c>
      <c r="B3" s="10">
        <f>Pivot_Analysis!B35</f>
        <v>641929</v>
      </c>
      <c r="D3" t="str">
        <f>Pivot_Analysis!I5</f>
        <v>Electronics</v>
      </c>
      <c r="E3" s="10">
        <f>Pivot_Analysis!J5</f>
        <v>3848855</v>
      </c>
      <c r="G3" t="str">
        <f>Pivot_Analysis!A14</f>
        <v>Retail Store</v>
      </c>
      <c r="H3" s="10">
        <f>Pivot_Analysis!B14</f>
        <v>3016154</v>
      </c>
      <c r="J3" t="str">
        <f>Pivot_Analysis!I5</f>
        <v>Electronics</v>
      </c>
      <c r="K3" s="10">
        <f>Pivot_Analysis!K5</f>
        <v>470476.66999999987</v>
      </c>
      <c r="M3" s="8">
        <f>Pivot_Analysis!I35</f>
        <v>0.05</v>
      </c>
      <c r="N3" s="9">
        <f>Pivot_Analysis!M35</f>
        <v>0.12921839993536616</v>
      </c>
      <c r="P3" t="str">
        <f>Pivot_Analysis!A5</f>
        <v>North</v>
      </c>
      <c r="Q3" s="10">
        <f>Pivot_Analysis!B5</f>
        <v>2084611.5</v>
      </c>
    </row>
    <row r="4" spans="1:18">
      <c r="A4" t="str">
        <f>Pivot_Analysis!A36</f>
        <v>Mar</v>
      </c>
      <c r="B4" s="10">
        <f>Pivot_Analysis!B36</f>
        <v>793872</v>
      </c>
      <c r="D4" t="str">
        <f>Pivot_Analysis!I6</f>
        <v>Furniture</v>
      </c>
      <c r="E4" s="10">
        <f>Pivot_Analysis!J6</f>
        <v>2139770</v>
      </c>
      <c r="J4" t="str">
        <f>Pivot_Analysis!I6</f>
        <v>Furniture</v>
      </c>
      <c r="K4" s="10">
        <f>Pivot_Analysis!K6</f>
        <v>275807.17000000004</v>
      </c>
      <c r="M4" s="8">
        <f>Pivot_Analysis!I36</f>
        <v>0.1</v>
      </c>
      <c r="N4" s="9">
        <f>Pivot_Analysis!M36</f>
        <v>0.14587201592898885</v>
      </c>
      <c r="P4" t="str">
        <f>Pivot_Analysis!A6</f>
        <v>South</v>
      </c>
      <c r="Q4" s="10">
        <f>Pivot_Analysis!B6</f>
        <v>1194332.5</v>
      </c>
    </row>
    <row r="5" spans="1:18">
      <c r="A5" t="str">
        <f>Pivot_Analysis!A37</f>
        <v>Apr</v>
      </c>
      <c r="B5" s="10">
        <f>Pivot_Analysis!B37</f>
        <v>377306.5</v>
      </c>
      <c r="D5" t="str">
        <f>Pivot_Analysis!I7</f>
        <v>Office Supplies</v>
      </c>
      <c r="E5" s="10">
        <f>Pivot_Analysis!J7</f>
        <v>161116.5</v>
      </c>
      <c r="J5" t="str">
        <f>Pivot_Analysis!I7</f>
        <v>Office Supplies</v>
      </c>
      <c r="K5" s="10">
        <f>Pivot_Analysis!K7</f>
        <v>19583.999999999985</v>
      </c>
      <c r="M5" s="8">
        <f>Pivot_Analysis!I37</f>
        <v>0.15</v>
      </c>
      <c r="N5" s="9">
        <f>Pivot_Analysis!M37</f>
        <v>0.10404709558305006</v>
      </c>
      <c r="P5" t="str">
        <f>Pivot_Analysis!A7</f>
        <v>Unknown</v>
      </c>
      <c r="Q5" s="10">
        <f>Pivot_Analysis!B7</f>
        <v>55676</v>
      </c>
    </row>
    <row r="6" spans="1:18">
      <c r="A6" t="str">
        <f>Pivot_Analysis!A38</f>
        <v>May</v>
      </c>
      <c r="B6" s="10">
        <f>Pivot_Analysis!B38</f>
        <v>569946</v>
      </c>
      <c r="M6" s="8">
        <f>Pivot_Analysis!I38</f>
        <v>0.2</v>
      </c>
      <c r="N6" s="9">
        <f>Pivot_Analysis!M38</f>
        <v>7.5713734187612944E-2</v>
      </c>
      <c r="P6" t="str">
        <f>Pivot_Analysis!A8</f>
        <v>West</v>
      </c>
      <c r="Q6" s="10">
        <f>Pivot_Analysis!B8</f>
        <v>1926155</v>
      </c>
    </row>
    <row r="7" spans="1:18">
      <c r="A7" t="str">
        <f>Pivot_Analysis!A39</f>
        <v>Jun</v>
      </c>
      <c r="B7" s="10">
        <f>Pivot_Analysis!B39</f>
        <v>564767.5</v>
      </c>
      <c r="M7" s="8"/>
      <c r="N7" s="10"/>
    </row>
    <row r="8" spans="1:18">
      <c r="A8" t="str">
        <f>Pivot_Analysis!A40</f>
        <v>Jul</v>
      </c>
      <c r="B8" s="10">
        <f>Pivot_Analysis!B40</f>
        <v>372801</v>
      </c>
    </row>
    <row r="9" spans="1:18">
      <c r="A9" t="str">
        <f>Pivot_Analysis!A41</f>
        <v>Aug</v>
      </c>
      <c r="B9" s="10">
        <f>Pivot_Analysis!B41</f>
        <v>488322.5</v>
      </c>
    </row>
    <row r="10" spans="1:18">
      <c r="A10" t="str">
        <f>Pivot_Analysis!A42</f>
        <v>Sep</v>
      </c>
      <c r="B10" s="10">
        <f>Pivot_Analysis!B42</f>
        <v>253669</v>
      </c>
    </row>
    <row r="11" spans="1:18">
      <c r="A11" t="str">
        <f>Pivot_Analysis!A43</f>
        <v>Oct</v>
      </c>
      <c r="B11" s="10">
        <f>Pivot_Analysis!B43</f>
        <v>870920</v>
      </c>
    </row>
    <row r="12" spans="1:18">
      <c r="A12" t="str">
        <f>Pivot_Analysis!A44</f>
        <v>Nov</v>
      </c>
      <c r="B12" s="10">
        <f>Pivot_Analysis!B44</f>
        <v>571056.5</v>
      </c>
    </row>
    <row r="13" spans="1:18">
      <c r="A13" t="str">
        <f>Pivot_Analysis!A45</f>
        <v>Dec</v>
      </c>
      <c r="B13" s="10">
        <f>Pivot_Analysis!B45</f>
        <v>245825.5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4F62-E062-43AD-AA39-D3E938058B1B}">
  <dimension ref="A1:N351"/>
  <sheetViews>
    <sheetView workbookViewId="0">
      <pane ySplit="1" topLeftCell="A2" activePane="bottomLeft" state="frozen"/>
      <selection pane="bottomLeft" activeCell="F2" sqref="F2"/>
    </sheetView>
  </sheetViews>
  <sheetFormatPr defaultRowHeight="13.8"/>
  <cols>
    <col min="1" max="3" width="14" customWidth="1"/>
    <col min="4" max="4" width="12" customWidth="1"/>
    <col min="5" max="6" width="18" customWidth="1"/>
    <col min="7" max="7" width="10" customWidth="1"/>
    <col min="8" max="8" width="14" customWidth="1"/>
    <col min="9" max="9" width="10" customWidth="1"/>
    <col min="10" max="11" width="14" customWidth="1"/>
    <col min="12" max="13" width="16" customWidth="1"/>
    <col min="14" max="14" width="28.59765625" style="9" customWidth="1"/>
    <col min="15" max="15" width="15.8984375" customWidth="1"/>
  </cols>
  <sheetData>
    <row r="1" spans="1:14" ht="27.6">
      <c r="A1" s="5" t="s">
        <v>25</v>
      </c>
      <c r="B1" s="5" t="s">
        <v>26</v>
      </c>
      <c r="C1" s="5" t="s">
        <v>27</v>
      </c>
      <c r="D1" s="5" t="s">
        <v>28</v>
      </c>
      <c r="E1" s="5" t="s">
        <v>29</v>
      </c>
      <c r="F1" s="5" t="s">
        <v>30</v>
      </c>
      <c r="G1" s="5" t="s">
        <v>31</v>
      </c>
      <c r="H1" s="5" t="s">
        <v>32</v>
      </c>
      <c r="I1" s="5" t="s">
        <v>33</v>
      </c>
      <c r="J1" s="5" t="s">
        <v>34</v>
      </c>
      <c r="K1" s="5" t="s">
        <v>35</v>
      </c>
      <c r="L1" s="5" t="s">
        <v>36</v>
      </c>
      <c r="M1" s="5" t="s">
        <v>37</v>
      </c>
      <c r="N1" s="9" t="s">
        <v>582</v>
      </c>
    </row>
    <row r="2" spans="1:14">
      <c r="A2" t="s">
        <v>38</v>
      </c>
      <c r="B2" s="6">
        <v>45985</v>
      </c>
      <c r="C2" t="s">
        <v>39</v>
      </c>
      <c r="D2" t="s">
        <v>40</v>
      </c>
      <c r="E2" t="s">
        <v>41</v>
      </c>
      <c r="F2" t="s">
        <v>42</v>
      </c>
      <c r="G2">
        <v>2</v>
      </c>
      <c r="H2" s="7">
        <v>120</v>
      </c>
      <c r="I2" s="8">
        <v>0.05</v>
      </c>
      <c r="J2" s="7">
        <v>228</v>
      </c>
      <c r="K2" s="7">
        <v>41.12</v>
      </c>
      <c r="L2" t="s">
        <v>43</v>
      </c>
      <c r="M2" t="s">
        <v>44</v>
      </c>
      <c r="N2" s="9">
        <f>SalesData[[#This Row],[Profit]]/SalesData[[#This Row],[Sales]]</f>
        <v>0.18035087719298246</v>
      </c>
    </row>
    <row r="3" spans="1:14">
      <c r="A3" t="s">
        <v>45</v>
      </c>
      <c r="B3" s="6">
        <v>45960</v>
      </c>
      <c r="C3" t="s">
        <v>46</v>
      </c>
      <c r="D3" t="s">
        <v>40</v>
      </c>
      <c r="E3" t="s">
        <v>47</v>
      </c>
      <c r="F3" t="s">
        <v>48</v>
      </c>
      <c r="G3">
        <v>2</v>
      </c>
      <c r="H3" s="7">
        <v>52000</v>
      </c>
      <c r="I3" s="8">
        <v>0.05</v>
      </c>
      <c r="J3" s="7">
        <v>98800</v>
      </c>
      <c r="K3" s="7">
        <v>14163.66</v>
      </c>
      <c r="L3" t="s">
        <v>49</v>
      </c>
      <c r="M3" t="s">
        <v>44</v>
      </c>
      <c r="N3" s="9">
        <f>SalesData[[#This Row],[Profit]]/SalesData[[#This Row],[Sales]]</f>
        <v>0.14335688259109311</v>
      </c>
    </row>
    <row r="4" spans="1:14">
      <c r="A4" t="s">
        <v>50</v>
      </c>
      <c r="B4" s="6">
        <v>45990</v>
      </c>
      <c r="C4" t="s">
        <v>51</v>
      </c>
      <c r="D4" t="s">
        <v>52</v>
      </c>
      <c r="E4" t="s">
        <v>53</v>
      </c>
      <c r="F4" t="s">
        <v>54</v>
      </c>
      <c r="G4">
        <v>5</v>
      </c>
      <c r="H4" s="7">
        <v>7800</v>
      </c>
      <c r="I4" s="8">
        <v>0.1</v>
      </c>
      <c r="J4" s="7">
        <v>35100</v>
      </c>
      <c r="K4" s="7">
        <v>6125.26</v>
      </c>
      <c r="L4" t="s">
        <v>49</v>
      </c>
      <c r="M4" t="s">
        <v>44</v>
      </c>
      <c r="N4" s="9">
        <f>SalesData[[#This Row],[Profit]]/SalesData[[#This Row],[Sales]]</f>
        <v>0.1745088319088319</v>
      </c>
    </row>
    <row r="5" spans="1:14">
      <c r="A5" t="s">
        <v>55</v>
      </c>
      <c r="B5" s="6">
        <v>46015</v>
      </c>
      <c r="C5" t="s">
        <v>46</v>
      </c>
      <c r="D5" t="s">
        <v>56</v>
      </c>
      <c r="E5" t="s">
        <v>41</v>
      </c>
      <c r="F5" t="s">
        <v>42</v>
      </c>
      <c r="G5">
        <v>2</v>
      </c>
      <c r="H5" s="7">
        <v>120</v>
      </c>
      <c r="I5" s="8">
        <v>0.1</v>
      </c>
      <c r="J5" s="7">
        <v>216</v>
      </c>
      <c r="K5" s="7">
        <v>13.25</v>
      </c>
      <c r="L5" t="s">
        <v>57</v>
      </c>
      <c r="M5" t="s">
        <v>44</v>
      </c>
      <c r="N5" s="9">
        <f>SalesData[[#This Row],[Profit]]/SalesData[[#This Row],[Sales]]</f>
        <v>6.1342592592592594E-2</v>
      </c>
    </row>
    <row r="6" spans="1:14">
      <c r="A6" t="s">
        <v>58</v>
      </c>
      <c r="B6" s="6">
        <v>45841</v>
      </c>
      <c r="C6" t="s">
        <v>59</v>
      </c>
      <c r="D6" t="s">
        <v>56</v>
      </c>
      <c r="E6" t="s">
        <v>47</v>
      </c>
      <c r="F6" t="s">
        <v>60</v>
      </c>
      <c r="G6">
        <v>5</v>
      </c>
      <c r="H6" s="7">
        <v>2500</v>
      </c>
      <c r="I6" s="8">
        <v>0</v>
      </c>
      <c r="J6" s="7">
        <v>12500</v>
      </c>
      <c r="K6" s="7">
        <v>2946.23</v>
      </c>
      <c r="L6" t="s">
        <v>57</v>
      </c>
      <c r="M6" t="s">
        <v>44</v>
      </c>
      <c r="N6" s="9">
        <f>SalesData[[#This Row],[Profit]]/SalesData[[#This Row],[Sales]]</f>
        <v>0.2356984</v>
      </c>
    </row>
    <row r="7" spans="1:14">
      <c r="A7" t="s">
        <v>61</v>
      </c>
      <c r="B7" s="6">
        <v>45940</v>
      </c>
      <c r="C7" t="s">
        <v>62</v>
      </c>
      <c r="D7" t="s">
        <v>56</v>
      </c>
      <c r="E7" t="s">
        <v>53</v>
      </c>
      <c r="F7" t="s">
        <v>63</v>
      </c>
      <c r="G7">
        <v>1</v>
      </c>
      <c r="H7" s="7">
        <v>8500</v>
      </c>
      <c r="I7" s="8">
        <v>0.05</v>
      </c>
      <c r="J7" s="7">
        <v>8075</v>
      </c>
      <c r="K7" s="7">
        <v>1503.49</v>
      </c>
      <c r="L7" t="s">
        <v>49</v>
      </c>
      <c r="M7" t="s">
        <v>44</v>
      </c>
      <c r="N7" s="9">
        <f>SalesData[[#This Row],[Profit]]/SalesData[[#This Row],[Sales]]</f>
        <v>0.1861907120743034</v>
      </c>
    </row>
    <row r="8" spans="1:14">
      <c r="A8" t="s">
        <v>64</v>
      </c>
      <c r="B8" s="6">
        <v>45709</v>
      </c>
      <c r="C8" t="s">
        <v>65</v>
      </c>
      <c r="D8" t="s">
        <v>56</v>
      </c>
      <c r="E8" t="s">
        <v>66</v>
      </c>
      <c r="F8" t="s">
        <v>67</v>
      </c>
      <c r="G8">
        <v>2</v>
      </c>
      <c r="H8" s="7">
        <v>2200</v>
      </c>
      <c r="I8" s="8">
        <v>0.1</v>
      </c>
      <c r="J8" s="7">
        <v>3960</v>
      </c>
      <c r="K8" s="7">
        <v>403.3</v>
      </c>
      <c r="L8" t="s">
        <v>68</v>
      </c>
      <c r="M8" t="s">
        <v>44</v>
      </c>
      <c r="N8" s="9">
        <f>SalesData[[#This Row],[Profit]]/SalesData[[#This Row],[Sales]]</f>
        <v>0.10184343434343435</v>
      </c>
    </row>
    <row r="9" spans="1:14">
      <c r="A9" t="s">
        <v>69</v>
      </c>
      <c r="B9" s="6">
        <v>45969</v>
      </c>
      <c r="C9" t="s">
        <v>70</v>
      </c>
      <c r="D9" t="s">
        <v>71</v>
      </c>
      <c r="E9" t="s">
        <v>53</v>
      </c>
      <c r="F9" t="s">
        <v>54</v>
      </c>
      <c r="G9">
        <v>4</v>
      </c>
      <c r="H9" s="7">
        <v>7800</v>
      </c>
      <c r="I9" s="8">
        <v>0.1</v>
      </c>
      <c r="J9" s="7">
        <v>28080</v>
      </c>
      <c r="K9" s="7">
        <v>5709.33</v>
      </c>
      <c r="L9" t="s">
        <v>43</v>
      </c>
      <c r="M9" t="s">
        <v>44</v>
      </c>
      <c r="N9" s="9">
        <f>SalesData[[#This Row],[Profit]]/SalesData[[#This Row],[Sales]]</f>
        <v>0.20332371794871795</v>
      </c>
    </row>
    <row r="10" spans="1:14">
      <c r="A10" t="s">
        <v>72</v>
      </c>
      <c r="B10" s="6">
        <v>46008</v>
      </c>
      <c r="C10" t="s">
        <v>73</v>
      </c>
      <c r="D10" t="s">
        <v>40</v>
      </c>
      <c r="E10" t="s">
        <v>53</v>
      </c>
      <c r="F10" t="s">
        <v>63</v>
      </c>
      <c r="G10">
        <v>3</v>
      </c>
      <c r="H10" s="7">
        <v>8500</v>
      </c>
      <c r="I10" s="8">
        <v>0.15</v>
      </c>
      <c r="J10" s="7">
        <v>21675</v>
      </c>
      <c r="K10" s="7">
        <v>1524.59</v>
      </c>
      <c r="L10" t="s">
        <v>74</v>
      </c>
      <c r="M10" t="s">
        <v>75</v>
      </c>
      <c r="N10" s="9">
        <f>SalesData[[#This Row],[Profit]]/SalesData[[#This Row],[Sales]]</f>
        <v>7.0338638985005766E-2</v>
      </c>
    </row>
    <row r="11" spans="1:14">
      <c r="A11" t="s">
        <v>76</v>
      </c>
      <c r="B11" s="6">
        <v>45766</v>
      </c>
      <c r="C11" t="s">
        <v>77</v>
      </c>
      <c r="D11" t="s">
        <v>52</v>
      </c>
      <c r="E11" t="s">
        <v>66</v>
      </c>
      <c r="F11" t="s">
        <v>78</v>
      </c>
      <c r="G11">
        <v>3</v>
      </c>
      <c r="H11" s="7">
        <v>700</v>
      </c>
      <c r="I11" s="8">
        <v>0.05</v>
      </c>
      <c r="J11" s="7">
        <v>1995</v>
      </c>
      <c r="K11" s="7">
        <v>203.41</v>
      </c>
      <c r="L11" t="s">
        <v>43</v>
      </c>
      <c r="M11" t="s">
        <v>75</v>
      </c>
      <c r="N11" s="9">
        <f>SalesData[[#This Row],[Profit]]/SalesData[[#This Row],[Sales]]</f>
        <v>0.10195989974937343</v>
      </c>
    </row>
    <row r="12" spans="1:14">
      <c r="A12" t="s">
        <v>79</v>
      </c>
      <c r="B12" s="6">
        <v>45957</v>
      </c>
      <c r="C12" t="s">
        <v>80</v>
      </c>
      <c r="D12" t="s">
        <v>52</v>
      </c>
      <c r="E12" t="s">
        <v>41</v>
      </c>
      <c r="F12" t="s">
        <v>42</v>
      </c>
      <c r="G12">
        <v>2</v>
      </c>
      <c r="H12" s="7">
        <v>120</v>
      </c>
      <c r="I12" s="8">
        <v>0.2</v>
      </c>
      <c r="J12" s="7">
        <v>192</v>
      </c>
      <c r="K12" s="7">
        <v>17.079999999999998</v>
      </c>
      <c r="L12" t="s">
        <v>49</v>
      </c>
      <c r="M12" t="s">
        <v>44</v>
      </c>
      <c r="N12" s="9">
        <f>SalesData[[#This Row],[Profit]]/SalesData[[#This Row],[Sales]]</f>
        <v>8.895833333333332E-2</v>
      </c>
    </row>
    <row r="13" spans="1:14">
      <c r="A13" t="s">
        <v>81</v>
      </c>
      <c r="B13" s="6">
        <v>45736</v>
      </c>
      <c r="C13" t="s">
        <v>82</v>
      </c>
      <c r="D13" t="s">
        <v>52</v>
      </c>
      <c r="E13" t="s">
        <v>47</v>
      </c>
      <c r="F13" t="s">
        <v>60</v>
      </c>
      <c r="G13">
        <v>4</v>
      </c>
      <c r="H13" s="7">
        <v>2500</v>
      </c>
      <c r="I13" s="8">
        <v>0.2</v>
      </c>
      <c r="J13" s="7">
        <v>8000</v>
      </c>
      <c r="K13" s="7">
        <v>1355.04</v>
      </c>
      <c r="L13" t="s">
        <v>43</v>
      </c>
      <c r="M13" t="s">
        <v>75</v>
      </c>
      <c r="N13" s="9">
        <f>SalesData[[#This Row],[Profit]]/SalesData[[#This Row],[Sales]]</f>
        <v>0.16938</v>
      </c>
    </row>
    <row r="14" spans="1:14">
      <c r="A14" t="s">
        <v>83</v>
      </c>
      <c r="B14" s="6">
        <v>45941</v>
      </c>
      <c r="C14" t="s">
        <v>84</v>
      </c>
      <c r="D14" t="s">
        <v>40</v>
      </c>
      <c r="E14" t="s">
        <v>41</v>
      </c>
      <c r="F14" t="s">
        <v>85</v>
      </c>
      <c r="G14">
        <v>1</v>
      </c>
      <c r="H14" s="7">
        <v>1600</v>
      </c>
      <c r="I14" s="8">
        <v>0.1</v>
      </c>
      <c r="J14" s="7">
        <v>1440</v>
      </c>
      <c r="K14" s="7">
        <v>164.97</v>
      </c>
      <c r="L14" t="s">
        <v>57</v>
      </c>
      <c r="M14" t="s">
        <v>44</v>
      </c>
      <c r="N14" s="9">
        <f>SalesData[[#This Row],[Profit]]/SalesData[[#This Row],[Sales]]</f>
        <v>0.1145625</v>
      </c>
    </row>
    <row r="15" spans="1:14">
      <c r="A15" t="s">
        <v>86</v>
      </c>
      <c r="B15" s="6">
        <v>45792</v>
      </c>
      <c r="C15" t="s">
        <v>87</v>
      </c>
      <c r="D15" t="s">
        <v>71</v>
      </c>
      <c r="E15" t="s">
        <v>47</v>
      </c>
      <c r="F15" t="s">
        <v>88</v>
      </c>
      <c r="G15">
        <v>6</v>
      </c>
      <c r="H15" s="7">
        <v>1800</v>
      </c>
      <c r="I15" s="8">
        <v>0.2</v>
      </c>
      <c r="J15" s="7">
        <v>8640</v>
      </c>
      <c r="K15" s="7">
        <v>928.24</v>
      </c>
      <c r="L15" t="s">
        <v>74</v>
      </c>
      <c r="M15" t="s">
        <v>75</v>
      </c>
      <c r="N15" s="9">
        <f>SalesData[[#This Row],[Profit]]/SalesData[[#This Row],[Sales]]</f>
        <v>0.10743518518518519</v>
      </c>
    </row>
    <row r="16" spans="1:14">
      <c r="A16" t="s">
        <v>89</v>
      </c>
      <c r="B16" s="6">
        <v>45740</v>
      </c>
      <c r="C16" t="s">
        <v>90</v>
      </c>
      <c r="D16" t="s">
        <v>40</v>
      </c>
      <c r="E16" t="s">
        <v>41</v>
      </c>
      <c r="F16" t="s">
        <v>91</v>
      </c>
      <c r="G16">
        <v>1</v>
      </c>
      <c r="H16" s="7">
        <v>220</v>
      </c>
      <c r="I16" s="8">
        <v>0</v>
      </c>
      <c r="J16" s="7">
        <v>220</v>
      </c>
      <c r="K16" s="7">
        <v>50.3</v>
      </c>
      <c r="L16" t="s">
        <v>68</v>
      </c>
      <c r="M16" t="s">
        <v>44</v>
      </c>
      <c r="N16" s="9">
        <f>SalesData[[#This Row],[Profit]]/SalesData[[#This Row],[Sales]]</f>
        <v>0.22863636363636361</v>
      </c>
    </row>
    <row r="17" spans="1:14">
      <c r="A17" t="s">
        <v>92</v>
      </c>
      <c r="B17" s="6">
        <v>45687</v>
      </c>
      <c r="C17" t="s">
        <v>93</v>
      </c>
      <c r="D17" t="s">
        <v>40</v>
      </c>
      <c r="E17" t="s">
        <v>47</v>
      </c>
      <c r="F17" t="s">
        <v>60</v>
      </c>
      <c r="G17">
        <v>1</v>
      </c>
      <c r="H17" s="7">
        <v>2500</v>
      </c>
      <c r="I17" s="8">
        <v>0.2</v>
      </c>
      <c r="J17" s="7">
        <v>2000</v>
      </c>
      <c r="K17" s="7">
        <v>265.07</v>
      </c>
      <c r="L17" t="s">
        <v>74</v>
      </c>
      <c r="M17" t="s">
        <v>75</v>
      </c>
      <c r="N17" s="9">
        <f>SalesData[[#This Row],[Profit]]/SalesData[[#This Row],[Sales]]</f>
        <v>0.13253499999999999</v>
      </c>
    </row>
    <row r="18" spans="1:14">
      <c r="A18" t="s">
        <v>94</v>
      </c>
      <c r="B18" s="6">
        <v>45939</v>
      </c>
      <c r="C18" t="s">
        <v>95</v>
      </c>
      <c r="D18" t="s">
        <v>56</v>
      </c>
      <c r="E18" t="s">
        <v>66</v>
      </c>
      <c r="F18" t="s">
        <v>78</v>
      </c>
      <c r="G18">
        <v>5</v>
      </c>
      <c r="H18" s="7">
        <v>700</v>
      </c>
      <c r="I18" s="8">
        <v>0.05</v>
      </c>
      <c r="J18" s="7">
        <v>3325</v>
      </c>
      <c r="K18" s="7">
        <v>587.1</v>
      </c>
      <c r="L18" t="s">
        <v>57</v>
      </c>
      <c r="M18" t="s">
        <v>75</v>
      </c>
      <c r="N18" s="9">
        <f>SalesData[[#This Row],[Profit]]/SalesData[[#This Row],[Sales]]</f>
        <v>0.17657142857142857</v>
      </c>
    </row>
    <row r="19" spans="1:14">
      <c r="A19" t="s">
        <v>96</v>
      </c>
      <c r="B19" s="6">
        <v>45882</v>
      </c>
      <c r="C19" t="s">
        <v>97</v>
      </c>
      <c r="D19" t="s">
        <v>52</v>
      </c>
      <c r="E19" t="s">
        <v>47</v>
      </c>
      <c r="F19" t="s">
        <v>98</v>
      </c>
      <c r="G19">
        <v>2</v>
      </c>
      <c r="H19" s="7">
        <v>14500</v>
      </c>
      <c r="I19" s="8">
        <v>0</v>
      </c>
      <c r="J19" s="7">
        <v>29000</v>
      </c>
      <c r="K19" s="7">
        <v>3888.72</v>
      </c>
      <c r="L19" t="s">
        <v>43</v>
      </c>
      <c r="M19" t="s">
        <v>44</v>
      </c>
      <c r="N19" s="9">
        <f>SalesData[[#This Row],[Profit]]/SalesData[[#This Row],[Sales]]</f>
        <v>0.13409379310344827</v>
      </c>
    </row>
    <row r="20" spans="1:14">
      <c r="A20" t="s">
        <v>99</v>
      </c>
      <c r="B20" s="6">
        <v>45959</v>
      </c>
      <c r="C20" t="s">
        <v>100</v>
      </c>
      <c r="D20" t="s">
        <v>40</v>
      </c>
      <c r="E20" t="s">
        <v>47</v>
      </c>
      <c r="F20" t="s">
        <v>48</v>
      </c>
      <c r="G20">
        <v>2</v>
      </c>
      <c r="H20" s="7">
        <v>52000</v>
      </c>
      <c r="I20" s="8">
        <v>0</v>
      </c>
      <c r="J20" s="7">
        <v>104000</v>
      </c>
      <c r="K20" s="7">
        <v>23386.19</v>
      </c>
      <c r="L20" t="s">
        <v>68</v>
      </c>
      <c r="M20" t="s">
        <v>44</v>
      </c>
      <c r="N20" s="9">
        <f>SalesData[[#This Row],[Profit]]/SalesData[[#This Row],[Sales]]</f>
        <v>0.22486721153846154</v>
      </c>
    </row>
    <row r="21" spans="1:14">
      <c r="A21" t="s">
        <v>101</v>
      </c>
      <c r="B21" s="6">
        <v>45921</v>
      </c>
      <c r="C21" t="s">
        <v>102</v>
      </c>
      <c r="D21" t="s">
        <v>56</v>
      </c>
      <c r="E21" t="s">
        <v>66</v>
      </c>
      <c r="F21" t="s">
        <v>78</v>
      </c>
      <c r="G21">
        <v>5</v>
      </c>
      <c r="H21" s="7">
        <v>700</v>
      </c>
      <c r="I21" s="8">
        <v>0.05</v>
      </c>
      <c r="J21" s="7">
        <v>3325</v>
      </c>
      <c r="K21" s="7">
        <v>592.64</v>
      </c>
      <c r="L21" t="s">
        <v>43</v>
      </c>
      <c r="M21" t="s">
        <v>75</v>
      </c>
      <c r="N21" s="9">
        <f>SalesData[[#This Row],[Profit]]/SalesData[[#This Row],[Sales]]</f>
        <v>0.17823759398496239</v>
      </c>
    </row>
    <row r="22" spans="1:14">
      <c r="A22" t="s">
        <v>103</v>
      </c>
      <c r="B22" s="6">
        <v>45782</v>
      </c>
      <c r="C22" t="s">
        <v>104</v>
      </c>
      <c r="D22" t="s">
        <v>52</v>
      </c>
      <c r="E22" t="s">
        <v>53</v>
      </c>
      <c r="F22" t="s">
        <v>63</v>
      </c>
      <c r="G22">
        <v>1</v>
      </c>
      <c r="H22" s="7">
        <v>8500</v>
      </c>
      <c r="I22" s="8">
        <v>0.15</v>
      </c>
      <c r="J22" s="7">
        <v>7225</v>
      </c>
      <c r="K22" s="7">
        <v>608.26</v>
      </c>
      <c r="L22" t="s">
        <v>57</v>
      </c>
      <c r="M22" t="s">
        <v>75</v>
      </c>
      <c r="N22" s="9">
        <f>SalesData[[#This Row],[Profit]]/SalesData[[#This Row],[Sales]]</f>
        <v>8.4188235294117647E-2</v>
      </c>
    </row>
    <row r="23" spans="1:14">
      <c r="A23" t="s">
        <v>105</v>
      </c>
      <c r="B23" s="6">
        <v>45685</v>
      </c>
      <c r="C23" t="s">
        <v>106</v>
      </c>
      <c r="D23" t="s">
        <v>40</v>
      </c>
      <c r="E23" t="s">
        <v>66</v>
      </c>
      <c r="F23" t="s">
        <v>67</v>
      </c>
      <c r="G23">
        <v>1</v>
      </c>
      <c r="H23" s="7">
        <v>2200</v>
      </c>
      <c r="I23" s="8">
        <v>0.05</v>
      </c>
      <c r="J23" s="7">
        <v>2090</v>
      </c>
      <c r="K23" s="7">
        <v>194.69</v>
      </c>
      <c r="L23" t="s">
        <v>43</v>
      </c>
      <c r="M23" t="s">
        <v>75</v>
      </c>
      <c r="N23" s="9">
        <f>SalesData[[#This Row],[Profit]]/SalesData[[#This Row],[Sales]]</f>
        <v>9.315311004784689E-2</v>
      </c>
    </row>
    <row r="24" spans="1:14">
      <c r="A24" t="s">
        <v>107</v>
      </c>
      <c r="B24" s="6">
        <v>45729</v>
      </c>
      <c r="C24" t="s">
        <v>46</v>
      </c>
      <c r="D24" t="s">
        <v>71</v>
      </c>
      <c r="E24" t="s">
        <v>41</v>
      </c>
      <c r="F24" t="s">
        <v>91</v>
      </c>
      <c r="G24">
        <v>2</v>
      </c>
      <c r="H24" s="7">
        <v>220</v>
      </c>
      <c r="I24" s="8">
        <v>0</v>
      </c>
      <c r="J24" s="7">
        <v>440</v>
      </c>
      <c r="K24" s="7">
        <v>66.400000000000006</v>
      </c>
      <c r="L24" t="s">
        <v>43</v>
      </c>
      <c r="M24" t="s">
        <v>44</v>
      </c>
      <c r="N24" s="9">
        <f>SalesData[[#This Row],[Profit]]/SalesData[[#This Row],[Sales]]</f>
        <v>0.15090909090909091</v>
      </c>
    </row>
    <row r="25" spans="1:14">
      <c r="A25" t="s">
        <v>108</v>
      </c>
      <c r="B25" s="6">
        <v>45683</v>
      </c>
      <c r="C25" t="s">
        <v>90</v>
      </c>
      <c r="D25" t="s">
        <v>40</v>
      </c>
      <c r="E25" t="s">
        <v>47</v>
      </c>
      <c r="F25" t="s">
        <v>98</v>
      </c>
      <c r="G25">
        <v>2</v>
      </c>
      <c r="H25" s="7">
        <v>14500</v>
      </c>
      <c r="I25" s="8">
        <v>0.15</v>
      </c>
      <c r="J25" s="7">
        <v>24650</v>
      </c>
      <c r="K25" s="7">
        <v>2593.2399999999998</v>
      </c>
      <c r="L25" t="s">
        <v>74</v>
      </c>
      <c r="M25" t="s">
        <v>75</v>
      </c>
      <c r="N25" s="9">
        <f>SalesData[[#This Row],[Profit]]/SalesData[[#This Row],[Sales]]</f>
        <v>0.1052024340770791</v>
      </c>
    </row>
    <row r="26" spans="1:14">
      <c r="A26" t="s">
        <v>109</v>
      </c>
      <c r="B26" s="6">
        <v>45688</v>
      </c>
      <c r="C26" t="s">
        <v>95</v>
      </c>
      <c r="D26" t="s">
        <v>52</v>
      </c>
      <c r="E26" t="s">
        <v>47</v>
      </c>
      <c r="F26" t="s">
        <v>60</v>
      </c>
      <c r="G26">
        <v>3</v>
      </c>
      <c r="H26" s="7">
        <v>2500</v>
      </c>
      <c r="I26" s="8">
        <v>0.15</v>
      </c>
      <c r="J26" s="7">
        <v>6375</v>
      </c>
      <c r="K26" s="7">
        <v>466.27</v>
      </c>
      <c r="L26" t="s">
        <v>43</v>
      </c>
      <c r="M26" t="s">
        <v>75</v>
      </c>
      <c r="N26" s="9">
        <f>SalesData[[#This Row],[Profit]]/SalesData[[#This Row],[Sales]]</f>
        <v>7.3140392156862744E-2</v>
      </c>
    </row>
    <row r="27" spans="1:14">
      <c r="A27" t="s">
        <v>110</v>
      </c>
      <c r="B27" s="6">
        <v>45737</v>
      </c>
      <c r="C27" t="s">
        <v>111</v>
      </c>
      <c r="D27" t="s">
        <v>56</v>
      </c>
      <c r="E27" t="s">
        <v>53</v>
      </c>
      <c r="F27" t="s">
        <v>63</v>
      </c>
      <c r="G27">
        <v>5</v>
      </c>
      <c r="H27" s="7">
        <v>8500</v>
      </c>
      <c r="I27" s="8">
        <v>0.2</v>
      </c>
      <c r="J27" s="7">
        <v>34000</v>
      </c>
      <c r="K27" s="7">
        <v>1020</v>
      </c>
      <c r="L27" t="s">
        <v>68</v>
      </c>
      <c r="M27" t="s">
        <v>44</v>
      </c>
      <c r="N27" s="9">
        <f>SalesData[[#This Row],[Profit]]/SalesData[[#This Row],[Sales]]</f>
        <v>0.03</v>
      </c>
    </row>
    <row r="28" spans="1:14">
      <c r="A28" t="s">
        <v>112</v>
      </c>
      <c r="B28" s="6">
        <v>45683</v>
      </c>
      <c r="C28" t="s">
        <v>113</v>
      </c>
      <c r="D28" t="s">
        <v>71</v>
      </c>
      <c r="E28" t="s">
        <v>47</v>
      </c>
      <c r="F28" t="s">
        <v>48</v>
      </c>
      <c r="G28">
        <v>2</v>
      </c>
      <c r="H28" s="7">
        <v>52000</v>
      </c>
      <c r="I28" s="8">
        <v>0</v>
      </c>
      <c r="J28" s="7">
        <v>104000</v>
      </c>
      <c r="K28" s="7">
        <v>18221.38</v>
      </c>
      <c r="L28" t="s">
        <v>74</v>
      </c>
      <c r="M28" t="s">
        <v>75</v>
      </c>
      <c r="N28" s="9">
        <f>SalesData[[#This Row],[Profit]]/SalesData[[#This Row],[Sales]]</f>
        <v>0.17520557692307692</v>
      </c>
    </row>
    <row r="29" spans="1:14">
      <c r="A29" t="s">
        <v>114</v>
      </c>
      <c r="B29" s="6">
        <v>45719</v>
      </c>
      <c r="C29" t="s">
        <v>115</v>
      </c>
      <c r="D29" t="s">
        <v>40</v>
      </c>
      <c r="E29" t="s">
        <v>47</v>
      </c>
      <c r="F29" t="s">
        <v>60</v>
      </c>
      <c r="G29">
        <v>6</v>
      </c>
      <c r="H29" s="7">
        <v>2500</v>
      </c>
      <c r="I29" s="8">
        <v>0.2</v>
      </c>
      <c r="J29" s="7">
        <v>12000</v>
      </c>
      <c r="K29" s="7">
        <v>1205.24</v>
      </c>
      <c r="L29" t="s">
        <v>68</v>
      </c>
      <c r="M29" t="s">
        <v>75</v>
      </c>
      <c r="N29" s="9">
        <f>SalesData[[#This Row],[Profit]]/SalesData[[#This Row],[Sales]]</f>
        <v>0.10043666666666667</v>
      </c>
    </row>
    <row r="30" spans="1:14">
      <c r="A30" t="s">
        <v>116</v>
      </c>
      <c r="B30" s="6">
        <v>45762</v>
      </c>
      <c r="C30" t="s">
        <v>117</v>
      </c>
      <c r="D30" t="s">
        <v>71</v>
      </c>
      <c r="E30" t="s">
        <v>41</v>
      </c>
      <c r="F30" t="s">
        <v>91</v>
      </c>
      <c r="G30">
        <v>2</v>
      </c>
      <c r="H30" s="7">
        <v>220</v>
      </c>
      <c r="I30" s="8">
        <v>0.1</v>
      </c>
      <c r="J30" s="7">
        <v>396</v>
      </c>
      <c r="K30" s="7">
        <v>46.79</v>
      </c>
      <c r="L30" t="s">
        <v>49</v>
      </c>
      <c r="M30" t="s">
        <v>44</v>
      </c>
      <c r="N30" s="9">
        <f>SalesData[[#This Row],[Profit]]/SalesData[[#This Row],[Sales]]</f>
        <v>0.11815656565656565</v>
      </c>
    </row>
    <row r="31" spans="1:14">
      <c r="A31" t="s">
        <v>118</v>
      </c>
      <c r="B31" s="6">
        <v>45892</v>
      </c>
      <c r="C31" t="s">
        <v>106</v>
      </c>
      <c r="D31" t="s">
        <v>40</v>
      </c>
      <c r="E31" t="s">
        <v>53</v>
      </c>
      <c r="F31" t="s">
        <v>119</v>
      </c>
      <c r="G31">
        <v>2</v>
      </c>
      <c r="H31" s="7">
        <v>6500</v>
      </c>
      <c r="I31" s="8">
        <v>0.1</v>
      </c>
      <c r="J31" s="7">
        <v>11700</v>
      </c>
      <c r="K31" s="7">
        <v>2175.48</v>
      </c>
      <c r="L31" t="s">
        <v>74</v>
      </c>
      <c r="M31" t="s">
        <v>75</v>
      </c>
      <c r="N31" s="9">
        <f>SalesData[[#This Row],[Profit]]/SalesData[[#This Row],[Sales]]</f>
        <v>0.18593846153846155</v>
      </c>
    </row>
    <row r="32" spans="1:14">
      <c r="A32" t="s">
        <v>120</v>
      </c>
      <c r="B32" s="6">
        <v>45803</v>
      </c>
      <c r="C32" t="s">
        <v>82</v>
      </c>
      <c r="D32" t="s">
        <v>52</v>
      </c>
      <c r="E32" t="s">
        <v>41</v>
      </c>
      <c r="F32" t="s">
        <v>121</v>
      </c>
      <c r="G32">
        <v>6</v>
      </c>
      <c r="H32" s="7">
        <v>450</v>
      </c>
      <c r="I32" s="8">
        <v>0.2</v>
      </c>
      <c r="J32" s="7">
        <v>2160</v>
      </c>
      <c r="K32" s="7">
        <v>125.07</v>
      </c>
      <c r="L32" t="s">
        <v>49</v>
      </c>
      <c r="M32" t="s">
        <v>44</v>
      </c>
      <c r="N32" s="9">
        <f>SalesData[[#This Row],[Profit]]/SalesData[[#This Row],[Sales]]</f>
        <v>5.7902777777777775E-2</v>
      </c>
    </row>
    <row r="33" spans="1:14">
      <c r="A33" t="s">
        <v>122</v>
      </c>
      <c r="B33" s="6">
        <v>45793</v>
      </c>
      <c r="C33" t="s">
        <v>123</v>
      </c>
      <c r="D33" t="s">
        <v>40</v>
      </c>
      <c r="E33" t="s">
        <v>53</v>
      </c>
      <c r="F33" t="s">
        <v>119</v>
      </c>
      <c r="G33">
        <v>3</v>
      </c>
      <c r="H33" s="7">
        <v>6500</v>
      </c>
      <c r="I33" s="8">
        <v>0.2</v>
      </c>
      <c r="J33" s="7">
        <v>15600</v>
      </c>
      <c r="K33" s="7">
        <v>681.73</v>
      </c>
      <c r="L33" t="s">
        <v>68</v>
      </c>
      <c r="M33" t="s">
        <v>44</v>
      </c>
      <c r="N33" s="9">
        <f>SalesData[[#This Row],[Profit]]/SalesData[[#This Row],[Sales]]</f>
        <v>4.3700641025641029E-2</v>
      </c>
    </row>
    <row r="34" spans="1:14">
      <c r="A34" t="s">
        <v>124</v>
      </c>
      <c r="B34" s="6">
        <v>46009</v>
      </c>
      <c r="C34" t="s">
        <v>125</v>
      </c>
      <c r="D34" t="s">
        <v>52</v>
      </c>
      <c r="E34" t="s">
        <v>41</v>
      </c>
      <c r="F34" t="s">
        <v>121</v>
      </c>
      <c r="G34">
        <v>1</v>
      </c>
      <c r="H34" s="7">
        <v>450</v>
      </c>
      <c r="I34" s="8">
        <v>0.15</v>
      </c>
      <c r="J34" s="7">
        <v>382.5</v>
      </c>
      <c r="K34" s="7">
        <v>61.27</v>
      </c>
      <c r="L34" t="s">
        <v>49</v>
      </c>
      <c r="M34" t="s">
        <v>44</v>
      </c>
      <c r="N34" s="9">
        <f>SalesData[[#This Row],[Profit]]/SalesData[[#This Row],[Sales]]</f>
        <v>0.16018300653594772</v>
      </c>
    </row>
    <row r="35" spans="1:14">
      <c r="A35" t="s">
        <v>126</v>
      </c>
      <c r="B35" s="6">
        <v>45828</v>
      </c>
      <c r="C35" t="s">
        <v>127</v>
      </c>
      <c r="D35" t="s">
        <v>56</v>
      </c>
      <c r="E35" t="s">
        <v>53</v>
      </c>
      <c r="F35" t="s">
        <v>54</v>
      </c>
      <c r="G35">
        <v>5</v>
      </c>
      <c r="H35" s="7">
        <v>7800</v>
      </c>
      <c r="I35" s="8">
        <v>0.15</v>
      </c>
      <c r="J35" s="7">
        <v>33150</v>
      </c>
      <c r="K35" s="7">
        <v>3886.68</v>
      </c>
      <c r="L35" t="s">
        <v>49</v>
      </c>
      <c r="M35" t="s">
        <v>44</v>
      </c>
      <c r="N35" s="9">
        <f>SalesData[[#This Row],[Profit]]/SalesData[[#This Row],[Sales]]</f>
        <v>0.11724524886877828</v>
      </c>
    </row>
    <row r="36" spans="1:14">
      <c r="A36" t="s">
        <v>128</v>
      </c>
      <c r="B36" s="6">
        <v>46011</v>
      </c>
      <c r="C36" t="s">
        <v>129</v>
      </c>
      <c r="D36" t="s">
        <v>40</v>
      </c>
      <c r="E36" t="s">
        <v>41</v>
      </c>
      <c r="F36" t="s">
        <v>42</v>
      </c>
      <c r="G36">
        <v>4</v>
      </c>
      <c r="H36" s="7">
        <v>120</v>
      </c>
      <c r="I36" s="8">
        <v>0.05</v>
      </c>
      <c r="J36" s="7">
        <v>456</v>
      </c>
      <c r="K36" s="7">
        <v>31.55</v>
      </c>
      <c r="L36" t="s">
        <v>68</v>
      </c>
      <c r="M36" t="s">
        <v>44</v>
      </c>
      <c r="N36" s="9">
        <f>SalesData[[#This Row],[Profit]]/SalesData[[#This Row],[Sales]]</f>
        <v>6.9188596491228077E-2</v>
      </c>
    </row>
    <row r="37" spans="1:14">
      <c r="A37" t="s">
        <v>130</v>
      </c>
      <c r="B37" s="6">
        <v>45841</v>
      </c>
      <c r="C37" t="s">
        <v>131</v>
      </c>
      <c r="D37" t="s">
        <v>71</v>
      </c>
      <c r="E37" t="s">
        <v>47</v>
      </c>
      <c r="F37" t="s">
        <v>88</v>
      </c>
      <c r="G37">
        <v>5</v>
      </c>
      <c r="H37" s="7">
        <v>1800</v>
      </c>
      <c r="I37" s="8">
        <v>0.15</v>
      </c>
      <c r="J37" s="7">
        <v>7650</v>
      </c>
      <c r="K37" s="7">
        <v>1402.35</v>
      </c>
      <c r="L37" t="s">
        <v>74</v>
      </c>
      <c r="M37" t="s">
        <v>44</v>
      </c>
      <c r="N37" s="9">
        <f>SalesData[[#This Row],[Profit]]/SalesData[[#This Row],[Sales]]</f>
        <v>0.18331372549019606</v>
      </c>
    </row>
    <row r="38" spans="1:14">
      <c r="A38" t="s">
        <v>132</v>
      </c>
      <c r="B38" s="6">
        <v>45741</v>
      </c>
      <c r="C38" t="s">
        <v>133</v>
      </c>
      <c r="D38" t="s">
        <v>52</v>
      </c>
      <c r="E38" t="s">
        <v>47</v>
      </c>
      <c r="F38" t="s">
        <v>98</v>
      </c>
      <c r="G38">
        <v>6</v>
      </c>
      <c r="H38" s="7">
        <v>14500</v>
      </c>
      <c r="I38" s="8">
        <v>0.1</v>
      </c>
      <c r="J38" s="7">
        <v>78300</v>
      </c>
      <c r="K38" s="7">
        <v>13325.24</v>
      </c>
      <c r="L38" t="s">
        <v>57</v>
      </c>
      <c r="M38" t="s">
        <v>44</v>
      </c>
      <c r="N38" s="9">
        <f>SalesData[[#This Row],[Profit]]/SalesData[[#This Row],[Sales]]</f>
        <v>0.17018186462324392</v>
      </c>
    </row>
    <row r="39" spans="1:14">
      <c r="A39" t="s">
        <v>134</v>
      </c>
      <c r="B39" s="6">
        <v>45794</v>
      </c>
      <c r="C39" t="s">
        <v>82</v>
      </c>
      <c r="D39" t="s">
        <v>40</v>
      </c>
      <c r="E39" t="s">
        <v>66</v>
      </c>
      <c r="F39" t="s">
        <v>135</v>
      </c>
      <c r="G39">
        <v>4</v>
      </c>
      <c r="H39" s="7">
        <v>900</v>
      </c>
      <c r="I39" s="8">
        <v>0.05</v>
      </c>
      <c r="J39" s="7">
        <v>3420</v>
      </c>
      <c r="K39" s="7">
        <v>322.95999999999998</v>
      </c>
      <c r="L39" t="s">
        <v>57</v>
      </c>
      <c r="M39" t="s">
        <v>75</v>
      </c>
      <c r="N39" s="9">
        <f>SalesData[[#This Row],[Profit]]/SalesData[[#This Row],[Sales]]</f>
        <v>9.4432748538011688E-2</v>
      </c>
    </row>
    <row r="40" spans="1:14">
      <c r="A40" t="s">
        <v>136</v>
      </c>
      <c r="B40" s="6">
        <v>45814</v>
      </c>
      <c r="C40" t="s">
        <v>137</v>
      </c>
      <c r="D40" t="s">
        <v>71</v>
      </c>
      <c r="E40" t="s">
        <v>47</v>
      </c>
      <c r="F40" t="s">
        <v>98</v>
      </c>
      <c r="G40">
        <v>4</v>
      </c>
      <c r="H40" s="7">
        <v>14500</v>
      </c>
      <c r="I40" s="8">
        <v>0.1</v>
      </c>
      <c r="J40" s="7">
        <v>52200</v>
      </c>
      <c r="K40" s="7">
        <v>4675.8900000000003</v>
      </c>
      <c r="L40" t="s">
        <v>49</v>
      </c>
      <c r="M40" t="s">
        <v>75</v>
      </c>
      <c r="N40" s="9">
        <f>SalesData[[#This Row],[Profit]]/SalesData[[#This Row],[Sales]]</f>
        <v>8.9576436781609203E-2</v>
      </c>
    </row>
    <row r="41" spans="1:14">
      <c r="A41" t="s">
        <v>138</v>
      </c>
      <c r="B41" s="6">
        <v>45837</v>
      </c>
      <c r="C41" t="s">
        <v>139</v>
      </c>
      <c r="D41" t="s">
        <v>52</v>
      </c>
      <c r="E41" t="s">
        <v>41</v>
      </c>
      <c r="F41" t="s">
        <v>121</v>
      </c>
      <c r="G41">
        <v>1</v>
      </c>
      <c r="H41" s="7">
        <v>450</v>
      </c>
      <c r="I41" s="8">
        <v>0.1</v>
      </c>
      <c r="J41" s="7">
        <v>405</v>
      </c>
      <c r="K41" s="7">
        <v>29.8</v>
      </c>
      <c r="L41" t="s">
        <v>68</v>
      </c>
      <c r="M41" t="s">
        <v>44</v>
      </c>
      <c r="N41" s="9">
        <f>SalesData[[#This Row],[Profit]]/SalesData[[#This Row],[Sales]]</f>
        <v>7.3580246913580255E-2</v>
      </c>
    </row>
    <row r="42" spans="1:14">
      <c r="A42" t="s">
        <v>140</v>
      </c>
      <c r="B42" s="6">
        <v>45713</v>
      </c>
      <c r="C42" t="s">
        <v>579</v>
      </c>
      <c r="D42" t="s">
        <v>56</v>
      </c>
      <c r="E42" t="s">
        <v>41</v>
      </c>
      <c r="F42" t="s">
        <v>91</v>
      </c>
      <c r="G42">
        <v>5</v>
      </c>
      <c r="H42" s="7">
        <v>220</v>
      </c>
      <c r="I42" s="8">
        <v>0.2</v>
      </c>
      <c r="J42" s="7">
        <v>880</v>
      </c>
      <c r="K42" s="7">
        <v>26.4</v>
      </c>
      <c r="L42" t="s">
        <v>43</v>
      </c>
      <c r="M42" t="s">
        <v>44</v>
      </c>
      <c r="N42" s="9">
        <f>SalesData[[#This Row],[Profit]]/SalesData[[#This Row],[Sales]]</f>
        <v>0.03</v>
      </c>
    </row>
    <row r="43" spans="1:14">
      <c r="A43" t="s">
        <v>141</v>
      </c>
      <c r="B43" s="6">
        <v>45788</v>
      </c>
      <c r="C43" t="s">
        <v>142</v>
      </c>
      <c r="D43" t="s">
        <v>52</v>
      </c>
      <c r="E43" t="s">
        <v>47</v>
      </c>
      <c r="F43" t="s">
        <v>98</v>
      </c>
      <c r="G43">
        <v>3</v>
      </c>
      <c r="H43" s="7">
        <v>14500</v>
      </c>
      <c r="I43" s="8">
        <v>0.15</v>
      </c>
      <c r="J43" s="7">
        <v>36975</v>
      </c>
      <c r="K43" s="7">
        <v>1430.78</v>
      </c>
      <c r="L43" t="s">
        <v>68</v>
      </c>
      <c r="M43" t="s">
        <v>75</v>
      </c>
      <c r="N43" s="9">
        <f>SalesData[[#This Row],[Profit]]/SalesData[[#This Row],[Sales]]</f>
        <v>3.8695875591615955E-2</v>
      </c>
    </row>
    <row r="44" spans="1:14">
      <c r="A44" t="s">
        <v>143</v>
      </c>
      <c r="B44" s="6">
        <v>45997</v>
      </c>
      <c r="C44" t="s">
        <v>144</v>
      </c>
      <c r="D44" t="s">
        <v>56</v>
      </c>
      <c r="E44" t="s">
        <v>41</v>
      </c>
      <c r="F44" t="s">
        <v>91</v>
      </c>
      <c r="G44">
        <v>3</v>
      </c>
      <c r="H44" s="7">
        <v>220</v>
      </c>
      <c r="I44" s="8">
        <v>0.15</v>
      </c>
      <c r="J44" s="7">
        <v>561</v>
      </c>
      <c r="K44" s="7">
        <v>78.010000000000005</v>
      </c>
      <c r="L44" t="s">
        <v>43</v>
      </c>
      <c r="M44" t="s">
        <v>44</v>
      </c>
      <c r="N44" s="9">
        <f>SalesData[[#This Row],[Profit]]/SalesData[[#This Row],[Sales]]</f>
        <v>0.13905525846702319</v>
      </c>
    </row>
    <row r="45" spans="1:14">
      <c r="A45" t="s">
        <v>145</v>
      </c>
      <c r="B45" s="6">
        <v>45756</v>
      </c>
      <c r="C45" t="s">
        <v>146</v>
      </c>
      <c r="D45" t="s">
        <v>52</v>
      </c>
      <c r="E45" t="s">
        <v>53</v>
      </c>
      <c r="F45" t="s">
        <v>119</v>
      </c>
      <c r="G45">
        <v>4</v>
      </c>
      <c r="H45" s="7">
        <v>6500</v>
      </c>
      <c r="I45" s="8">
        <v>0.2</v>
      </c>
      <c r="J45" s="7">
        <v>20800</v>
      </c>
      <c r="K45" s="7">
        <v>2982.64</v>
      </c>
      <c r="L45" t="s">
        <v>68</v>
      </c>
      <c r="M45" t="s">
        <v>75</v>
      </c>
      <c r="N45" s="9">
        <f>SalesData[[#This Row],[Profit]]/SalesData[[#This Row],[Sales]]</f>
        <v>0.14339615384615384</v>
      </c>
    </row>
    <row r="46" spans="1:14">
      <c r="A46" t="s">
        <v>147</v>
      </c>
      <c r="B46" s="6">
        <v>45765</v>
      </c>
      <c r="C46" t="s">
        <v>148</v>
      </c>
      <c r="D46" t="s">
        <v>56</v>
      </c>
      <c r="E46" t="s">
        <v>66</v>
      </c>
      <c r="F46" t="s">
        <v>149</v>
      </c>
      <c r="G46">
        <v>4</v>
      </c>
      <c r="H46" s="7">
        <v>1800</v>
      </c>
      <c r="I46" s="8">
        <v>0.05</v>
      </c>
      <c r="J46" s="7">
        <v>6840</v>
      </c>
      <c r="K46" s="7">
        <v>986.93</v>
      </c>
      <c r="L46" t="s">
        <v>74</v>
      </c>
      <c r="M46" t="s">
        <v>44</v>
      </c>
      <c r="N46" s="9">
        <f>SalesData[[#This Row],[Profit]]/SalesData[[#This Row],[Sales]]</f>
        <v>0.14428801169590644</v>
      </c>
    </row>
    <row r="47" spans="1:14">
      <c r="A47" t="s">
        <v>150</v>
      </c>
      <c r="B47" s="6">
        <v>45803</v>
      </c>
      <c r="C47" t="s">
        <v>151</v>
      </c>
      <c r="D47" t="s">
        <v>56</v>
      </c>
      <c r="E47" t="s">
        <v>47</v>
      </c>
      <c r="F47" t="s">
        <v>98</v>
      </c>
      <c r="G47">
        <v>6</v>
      </c>
      <c r="H47" s="7">
        <v>14500</v>
      </c>
      <c r="I47" s="8">
        <v>0.1</v>
      </c>
      <c r="J47" s="7">
        <v>78300</v>
      </c>
      <c r="K47" s="7">
        <v>6337.8</v>
      </c>
      <c r="L47" t="s">
        <v>74</v>
      </c>
      <c r="M47" t="s">
        <v>44</v>
      </c>
      <c r="N47" s="9">
        <f>SalesData[[#This Row],[Profit]]/SalesData[[#This Row],[Sales]]</f>
        <v>8.094252873563218E-2</v>
      </c>
    </row>
    <row r="48" spans="1:14">
      <c r="A48" t="s">
        <v>152</v>
      </c>
      <c r="B48" s="6">
        <v>45670</v>
      </c>
      <c r="C48" t="s">
        <v>142</v>
      </c>
      <c r="D48" t="s">
        <v>71</v>
      </c>
      <c r="E48" t="s">
        <v>66</v>
      </c>
      <c r="F48" t="s">
        <v>135</v>
      </c>
      <c r="G48">
        <v>4</v>
      </c>
      <c r="H48" s="7">
        <v>900</v>
      </c>
      <c r="I48" s="8">
        <v>0.15</v>
      </c>
      <c r="J48" s="7">
        <v>3060</v>
      </c>
      <c r="K48" s="7">
        <v>518</v>
      </c>
      <c r="L48" t="s">
        <v>43</v>
      </c>
      <c r="M48" t="s">
        <v>44</v>
      </c>
      <c r="N48" s="9">
        <f>SalesData[[#This Row],[Profit]]/SalesData[[#This Row],[Sales]]</f>
        <v>0.169281045751634</v>
      </c>
    </row>
    <row r="49" spans="1:14">
      <c r="A49" t="s">
        <v>153</v>
      </c>
      <c r="B49" s="6">
        <v>46014</v>
      </c>
      <c r="C49" t="s">
        <v>154</v>
      </c>
      <c r="D49" t="s">
        <v>52</v>
      </c>
      <c r="E49" t="s">
        <v>66</v>
      </c>
      <c r="F49" t="s">
        <v>78</v>
      </c>
      <c r="G49">
        <v>2</v>
      </c>
      <c r="H49" s="7">
        <v>700</v>
      </c>
      <c r="I49" s="8">
        <v>0</v>
      </c>
      <c r="J49" s="7">
        <v>1400</v>
      </c>
      <c r="K49" s="7">
        <v>311.95999999999998</v>
      </c>
      <c r="L49" t="s">
        <v>49</v>
      </c>
      <c r="M49" t="s">
        <v>75</v>
      </c>
      <c r="N49" s="9">
        <f>SalesData[[#This Row],[Profit]]/SalesData[[#This Row],[Sales]]</f>
        <v>0.2228285714285714</v>
      </c>
    </row>
    <row r="50" spans="1:14">
      <c r="A50" t="s">
        <v>155</v>
      </c>
      <c r="B50" s="6">
        <v>45770</v>
      </c>
      <c r="C50" t="s">
        <v>133</v>
      </c>
      <c r="D50" t="s">
        <v>52</v>
      </c>
      <c r="E50" t="s">
        <v>47</v>
      </c>
      <c r="F50" t="s">
        <v>98</v>
      </c>
      <c r="G50">
        <v>1</v>
      </c>
      <c r="H50" s="7">
        <v>14500</v>
      </c>
      <c r="I50" s="8">
        <v>0.15</v>
      </c>
      <c r="J50" s="7">
        <v>12325</v>
      </c>
      <c r="K50" s="7">
        <v>601.88</v>
      </c>
      <c r="L50" t="s">
        <v>57</v>
      </c>
      <c r="M50" t="s">
        <v>75</v>
      </c>
      <c r="N50" s="9">
        <f>SalesData[[#This Row],[Profit]]/SalesData[[#This Row],[Sales]]</f>
        <v>4.8834077079107502E-2</v>
      </c>
    </row>
    <row r="51" spans="1:14">
      <c r="A51" t="s">
        <v>156</v>
      </c>
      <c r="B51" s="6">
        <v>45884</v>
      </c>
      <c r="C51" t="s">
        <v>157</v>
      </c>
      <c r="D51" t="s">
        <v>52</v>
      </c>
      <c r="E51" t="s">
        <v>66</v>
      </c>
      <c r="F51" t="s">
        <v>78</v>
      </c>
      <c r="G51">
        <v>6</v>
      </c>
      <c r="H51" s="7">
        <v>700</v>
      </c>
      <c r="I51" s="8">
        <v>0.15</v>
      </c>
      <c r="J51" s="7">
        <v>3570</v>
      </c>
      <c r="K51" s="7">
        <v>355.25</v>
      </c>
      <c r="L51" t="s">
        <v>74</v>
      </c>
      <c r="M51" t="s">
        <v>75</v>
      </c>
      <c r="N51" s="9">
        <f>SalesData[[#This Row],[Profit]]/SalesData[[#This Row],[Sales]]</f>
        <v>9.9509803921568621E-2</v>
      </c>
    </row>
    <row r="52" spans="1:14">
      <c r="A52" t="s">
        <v>158</v>
      </c>
      <c r="B52" s="6">
        <v>45924</v>
      </c>
      <c r="C52" t="s">
        <v>159</v>
      </c>
      <c r="D52" t="s">
        <v>71</v>
      </c>
      <c r="E52" t="s">
        <v>41</v>
      </c>
      <c r="F52" t="s">
        <v>91</v>
      </c>
      <c r="G52">
        <v>1</v>
      </c>
      <c r="H52" s="7">
        <v>220</v>
      </c>
      <c r="I52" s="8">
        <v>0.1</v>
      </c>
      <c r="J52" s="7">
        <v>198</v>
      </c>
      <c r="K52" s="7">
        <v>16.34</v>
      </c>
      <c r="L52" t="s">
        <v>68</v>
      </c>
      <c r="M52" t="s">
        <v>75</v>
      </c>
      <c r="N52" s="9">
        <f>SalesData[[#This Row],[Profit]]/SalesData[[#This Row],[Sales]]</f>
        <v>8.2525252525252529E-2</v>
      </c>
    </row>
    <row r="53" spans="1:14">
      <c r="A53" t="s">
        <v>160</v>
      </c>
      <c r="B53" s="6">
        <v>45934</v>
      </c>
      <c r="C53" t="s">
        <v>161</v>
      </c>
      <c r="D53" t="s">
        <v>579</v>
      </c>
      <c r="E53" t="s">
        <v>53</v>
      </c>
      <c r="F53" t="s">
        <v>162</v>
      </c>
      <c r="G53">
        <v>4</v>
      </c>
      <c r="H53" s="7">
        <v>12000</v>
      </c>
      <c r="I53" s="8">
        <v>0.05</v>
      </c>
      <c r="J53" s="7">
        <v>45600</v>
      </c>
      <c r="K53" s="7">
        <v>8004.03</v>
      </c>
      <c r="L53" t="s">
        <v>49</v>
      </c>
      <c r="M53" t="s">
        <v>75</v>
      </c>
      <c r="N53" s="9">
        <f>SalesData[[#This Row],[Profit]]/SalesData[[#This Row],[Sales]]</f>
        <v>0.17552697368421052</v>
      </c>
    </row>
    <row r="54" spans="1:14">
      <c r="A54" t="s">
        <v>163</v>
      </c>
      <c r="B54" s="6">
        <v>45866</v>
      </c>
      <c r="C54" t="s">
        <v>164</v>
      </c>
      <c r="D54" t="s">
        <v>52</v>
      </c>
      <c r="E54" t="s">
        <v>66</v>
      </c>
      <c r="F54" t="s">
        <v>135</v>
      </c>
      <c r="G54">
        <v>2</v>
      </c>
      <c r="H54" s="7">
        <v>900</v>
      </c>
      <c r="I54" s="8">
        <v>0.15</v>
      </c>
      <c r="J54" s="7">
        <v>1530</v>
      </c>
      <c r="K54" s="7">
        <v>137.41999999999999</v>
      </c>
      <c r="L54" t="s">
        <v>43</v>
      </c>
      <c r="M54" t="s">
        <v>44</v>
      </c>
      <c r="N54" s="9">
        <f>SalesData[[#This Row],[Profit]]/SalesData[[#This Row],[Sales]]</f>
        <v>8.981699346405228E-2</v>
      </c>
    </row>
    <row r="55" spans="1:14">
      <c r="A55" t="s">
        <v>165</v>
      </c>
      <c r="B55" s="6">
        <v>45952</v>
      </c>
      <c r="C55" t="s">
        <v>65</v>
      </c>
      <c r="D55" t="s">
        <v>52</v>
      </c>
      <c r="E55" t="s">
        <v>47</v>
      </c>
      <c r="F55" t="s">
        <v>88</v>
      </c>
      <c r="G55">
        <v>3</v>
      </c>
      <c r="H55" s="7">
        <v>1800</v>
      </c>
      <c r="I55" s="8">
        <v>0.15</v>
      </c>
      <c r="J55" s="7">
        <v>4590</v>
      </c>
      <c r="K55" s="7">
        <v>753</v>
      </c>
      <c r="L55" t="s">
        <v>57</v>
      </c>
      <c r="M55" t="s">
        <v>44</v>
      </c>
      <c r="N55" s="9">
        <f>SalesData[[#This Row],[Profit]]/SalesData[[#This Row],[Sales]]</f>
        <v>0.16405228758169935</v>
      </c>
    </row>
    <row r="56" spans="1:14">
      <c r="A56" t="s">
        <v>166</v>
      </c>
      <c r="B56" s="6">
        <v>45907</v>
      </c>
      <c r="C56" t="s">
        <v>100</v>
      </c>
      <c r="D56" t="s">
        <v>56</v>
      </c>
      <c r="E56" t="s">
        <v>66</v>
      </c>
      <c r="F56" t="s">
        <v>149</v>
      </c>
      <c r="G56">
        <v>1</v>
      </c>
      <c r="H56" s="7">
        <v>1800</v>
      </c>
      <c r="I56" s="8">
        <v>0.15</v>
      </c>
      <c r="J56" s="7">
        <v>1530</v>
      </c>
      <c r="K56" s="7">
        <v>124.36</v>
      </c>
      <c r="L56" t="s">
        <v>57</v>
      </c>
      <c r="M56" t="s">
        <v>44</v>
      </c>
      <c r="N56" s="9">
        <f>SalesData[[#This Row],[Profit]]/SalesData[[#This Row],[Sales]]</f>
        <v>8.1281045751633987E-2</v>
      </c>
    </row>
    <row r="57" spans="1:14">
      <c r="A57" t="s">
        <v>167</v>
      </c>
      <c r="B57" s="6">
        <v>45897</v>
      </c>
      <c r="C57" t="s">
        <v>168</v>
      </c>
      <c r="D57" t="s">
        <v>40</v>
      </c>
      <c r="E57" t="s">
        <v>66</v>
      </c>
      <c r="F57" t="s">
        <v>135</v>
      </c>
      <c r="G57">
        <v>1</v>
      </c>
      <c r="H57" s="7">
        <v>900</v>
      </c>
      <c r="I57" s="8">
        <v>0.15</v>
      </c>
      <c r="J57" s="7">
        <v>765</v>
      </c>
      <c r="K57" s="7">
        <v>37.65</v>
      </c>
      <c r="L57" t="s">
        <v>57</v>
      </c>
      <c r="M57" t="s">
        <v>44</v>
      </c>
      <c r="N57" s="9">
        <f>SalesData[[#This Row],[Profit]]/SalesData[[#This Row],[Sales]]</f>
        <v>4.9215686274509805E-2</v>
      </c>
    </row>
    <row r="58" spans="1:14">
      <c r="A58" t="s">
        <v>169</v>
      </c>
      <c r="B58" s="6">
        <v>45683</v>
      </c>
      <c r="C58" t="s">
        <v>170</v>
      </c>
      <c r="D58" t="s">
        <v>52</v>
      </c>
      <c r="E58" t="s">
        <v>41</v>
      </c>
      <c r="F58" t="s">
        <v>42</v>
      </c>
      <c r="G58">
        <v>4</v>
      </c>
      <c r="H58" s="7">
        <v>120</v>
      </c>
      <c r="I58" s="8">
        <v>0.1</v>
      </c>
      <c r="J58" s="7">
        <v>432</v>
      </c>
      <c r="K58" s="7">
        <v>42.77</v>
      </c>
      <c r="L58" t="s">
        <v>57</v>
      </c>
      <c r="M58" t="s">
        <v>75</v>
      </c>
      <c r="N58" s="9">
        <f>SalesData[[#This Row],[Profit]]/SalesData[[#This Row],[Sales]]</f>
        <v>9.9004629629629637E-2</v>
      </c>
    </row>
    <row r="59" spans="1:14">
      <c r="A59" t="s">
        <v>171</v>
      </c>
      <c r="B59" s="6">
        <v>45873</v>
      </c>
      <c r="C59" t="s">
        <v>172</v>
      </c>
      <c r="D59" t="s">
        <v>40</v>
      </c>
      <c r="E59" t="s">
        <v>66</v>
      </c>
      <c r="F59" t="s">
        <v>135</v>
      </c>
      <c r="G59">
        <v>6</v>
      </c>
      <c r="H59" s="7">
        <v>900</v>
      </c>
      <c r="I59" s="8">
        <v>0.2</v>
      </c>
      <c r="J59" s="7">
        <v>4320</v>
      </c>
      <c r="K59" s="7">
        <v>129.6</v>
      </c>
      <c r="L59" t="s">
        <v>68</v>
      </c>
      <c r="M59" t="s">
        <v>44</v>
      </c>
      <c r="N59" s="9">
        <f>SalesData[[#This Row],[Profit]]/SalesData[[#This Row],[Sales]]</f>
        <v>0.03</v>
      </c>
    </row>
    <row r="60" spans="1:14">
      <c r="A60" t="s">
        <v>173</v>
      </c>
      <c r="B60" s="6">
        <v>45990</v>
      </c>
      <c r="C60" t="s">
        <v>174</v>
      </c>
      <c r="D60" t="s">
        <v>40</v>
      </c>
      <c r="E60" t="s">
        <v>47</v>
      </c>
      <c r="F60" t="s">
        <v>98</v>
      </c>
      <c r="G60">
        <v>2</v>
      </c>
      <c r="H60" s="7">
        <v>14500</v>
      </c>
      <c r="I60" s="8">
        <v>0</v>
      </c>
      <c r="J60" s="7">
        <v>29000</v>
      </c>
      <c r="K60" s="7">
        <v>5203</v>
      </c>
      <c r="L60" t="s">
        <v>74</v>
      </c>
      <c r="M60" t="s">
        <v>44</v>
      </c>
      <c r="N60" s="9">
        <f>SalesData[[#This Row],[Profit]]/SalesData[[#This Row],[Sales]]</f>
        <v>0.17941379310344827</v>
      </c>
    </row>
    <row r="61" spans="1:14">
      <c r="A61" t="s">
        <v>175</v>
      </c>
      <c r="B61" s="6">
        <v>45900</v>
      </c>
      <c r="C61" t="s">
        <v>123</v>
      </c>
      <c r="D61" t="s">
        <v>71</v>
      </c>
      <c r="E61" t="s">
        <v>66</v>
      </c>
      <c r="F61" t="s">
        <v>67</v>
      </c>
      <c r="G61">
        <v>3</v>
      </c>
      <c r="H61" s="7">
        <v>2200</v>
      </c>
      <c r="I61" s="8">
        <v>0.05</v>
      </c>
      <c r="J61" s="7">
        <v>6270</v>
      </c>
      <c r="K61" s="7">
        <v>999.71</v>
      </c>
      <c r="L61" t="s">
        <v>49</v>
      </c>
      <c r="M61" t="s">
        <v>44</v>
      </c>
      <c r="N61" s="9">
        <f>SalesData[[#This Row],[Profit]]/SalesData[[#This Row],[Sales]]</f>
        <v>0.1594433811802233</v>
      </c>
    </row>
    <row r="62" spans="1:14">
      <c r="A62" t="s">
        <v>176</v>
      </c>
      <c r="B62" s="6">
        <v>45817</v>
      </c>
      <c r="C62" t="s">
        <v>177</v>
      </c>
      <c r="D62" t="s">
        <v>40</v>
      </c>
      <c r="E62" t="s">
        <v>41</v>
      </c>
      <c r="F62" t="s">
        <v>91</v>
      </c>
      <c r="G62">
        <v>4</v>
      </c>
      <c r="H62" s="7">
        <v>220</v>
      </c>
      <c r="I62" s="8">
        <v>0.05</v>
      </c>
      <c r="J62" s="7">
        <v>836</v>
      </c>
      <c r="K62" s="7">
        <v>62.42</v>
      </c>
      <c r="L62" t="s">
        <v>74</v>
      </c>
      <c r="M62" t="s">
        <v>44</v>
      </c>
      <c r="N62" s="9">
        <f>SalesData[[#This Row],[Profit]]/SalesData[[#This Row],[Sales]]</f>
        <v>7.4665071770334934E-2</v>
      </c>
    </row>
    <row r="63" spans="1:14">
      <c r="A63" t="s">
        <v>178</v>
      </c>
      <c r="B63" s="6">
        <v>46014</v>
      </c>
      <c r="C63" t="s">
        <v>179</v>
      </c>
      <c r="D63" t="s">
        <v>40</v>
      </c>
      <c r="E63" t="s">
        <v>47</v>
      </c>
      <c r="F63" t="s">
        <v>88</v>
      </c>
      <c r="G63">
        <v>5</v>
      </c>
      <c r="H63" s="7">
        <v>1800</v>
      </c>
      <c r="I63" s="8">
        <v>0.15</v>
      </c>
      <c r="J63" s="7">
        <v>7650</v>
      </c>
      <c r="K63" s="7">
        <v>1020.08</v>
      </c>
      <c r="L63" t="s">
        <v>49</v>
      </c>
      <c r="M63" t="s">
        <v>75</v>
      </c>
      <c r="N63" s="9">
        <f>SalesData[[#This Row],[Profit]]/SalesData[[#This Row],[Sales]]</f>
        <v>0.13334379084967321</v>
      </c>
    </row>
    <row r="64" spans="1:14">
      <c r="A64" t="s">
        <v>180</v>
      </c>
      <c r="B64" s="6">
        <v>45664</v>
      </c>
      <c r="C64" t="s">
        <v>146</v>
      </c>
      <c r="D64" t="s">
        <v>52</v>
      </c>
      <c r="E64" t="s">
        <v>47</v>
      </c>
      <c r="F64" t="s">
        <v>60</v>
      </c>
      <c r="G64">
        <v>3</v>
      </c>
      <c r="H64" s="7">
        <v>2500</v>
      </c>
      <c r="I64" s="8">
        <v>0.15</v>
      </c>
      <c r="J64" s="7">
        <v>6375</v>
      </c>
      <c r="K64" s="7">
        <v>896.77</v>
      </c>
      <c r="L64" t="s">
        <v>57</v>
      </c>
      <c r="M64" t="s">
        <v>44</v>
      </c>
      <c r="N64" s="9">
        <f>SalesData[[#This Row],[Profit]]/SalesData[[#This Row],[Sales]]</f>
        <v>0.14066980392156864</v>
      </c>
    </row>
    <row r="65" spans="1:14">
      <c r="A65" t="s">
        <v>181</v>
      </c>
      <c r="B65" s="6">
        <v>45925</v>
      </c>
      <c r="C65" t="s">
        <v>182</v>
      </c>
      <c r="D65" t="s">
        <v>52</v>
      </c>
      <c r="E65" t="s">
        <v>66</v>
      </c>
      <c r="F65" t="s">
        <v>149</v>
      </c>
      <c r="G65">
        <v>6</v>
      </c>
      <c r="H65" s="7">
        <v>1800</v>
      </c>
      <c r="I65" s="8">
        <v>0.2</v>
      </c>
      <c r="J65" s="7">
        <v>8640</v>
      </c>
      <c r="K65" s="7">
        <v>457.43</v>
      </c>
      <c r="L65" t="s">
        <v>74</v>
      </c>
      <c r="M65" t="s">
        <v>44</v>
      </c>
      <c r="N65" s="9">
        <f>SalesData[[#This Row],[Profit]]/SalesData[[#This Row],[Sales]]</f>
        <v>5.2943287037037039E-2</v>
      </c>
    </row>
    <row r="66" spans="1:14">
      <c r="A66" t="s">
        <v>183</v>
      </c>
      <c r="B66" s="6">
        <v>45800</v>
      </c>
      <c r="C66" t="s">
        <v>184</v>
      </c>
      <c r="D66" t="s">
        <v>71</v>
      </c>
      <c r="E66" t="s">
        <v>66</v>
      </c>
      <c r="F66" t="s">
        <v>149</v>
      </c>
      <c r="G66">
        <v>3</v>
      </c>
      <c r="H66" s="7">
        <v>1800</v>
      </c>
      <c r="I66" s="8">
        <v>0</v>
      </c>
      <c r="J66" s="7">
        <v>5400</v>
      </c>
      <c r="K66" s="7">
        <v>859.08</v>
      </c>
      <c r="L66" t="s">
        <v>68</v>
      </c>
      <c r="M66" t="s">
        <v>44</v>
      </c>
      <c r="N66" s="9">
        <f>SalesData[[#This Row],[Profit]]/SalesData[[#This Row],[Sales]]</f>
        <v>0.15908888888888889</v>
      </c>
    </row>
    <row r="67" spans="1:14">
      <c r="A67" t="s">
        <v>185</v>
      </c>
      <c r="B67" s="6">
        <v>45907</v>
      </c>
      <c r="C67" t="s">
        <v>186</v>
      </c>
      <c r="D67" t="s">
        <v>56</v>
      </c>
      <c r="E67" t="s">
        <v>41</v>
      </c>
      <c r="F67" t="s">
        <v>85</v>
      </c>
      <c r="G67">
        <v>3</v>
      </c>
      <c r="H67" s="7">
        <v>1600</v>
      </c>
      <c r="I67" s="8">
        <v>0.2</v>
      </c>
      <c r="J67" s="7">
        <v>3840</v>
      </c>
      <c r="K67" s="7">
        <v>469.21</v>
      </c>
      <c r="L67" t="s">
        <v>68</v>
      </c>
      <c r="M67" t="s">
        <v>44</v>
      </c>
      <c r="N67" s="9">
        <f>SalesData[[#This Row],[Profit]]/SalesData[[#This Row],[Sales]]</f>
        <v>0.12219010416666666</v>
      </c>
    </row>
    <row r="68" spans="1:14">
      <c r="A68" t="s">
        <v>187</v>
      </c>
      <c r="B68" s="6">
        <v>45922</v>
      </c>
      <c r="C68" t="s">
        <v>111</v>
      </c>
      <c r="D68" t="s">
        <v>40</v>
      </c>
      <c r="E68" t="s">
        <v>53</v>
      </c>
      <c r="F68" t="s">
        <v>54</v>
      </c>
      <c r="G68">
        <v>4</v>
      </c>
      <c r="H68" s="7">
        <v>7800</v>
      </c>
      <c r="I68" s="8">
        <v>0.2</v>
      </c>
      <c r="J68" s="7">
        <v>24960</v>
      </c>
      <c r="K68" s="7">
        <v>3277.41</v>
      </c>
      <c r="L68" t="s">
        <v>57</v>
      </c>
      <c r="M68" t="s">
        <v>75</v>
      </c>
      <c r="N68" s="9">
        <f>SalesData[[#This Row],[Profit]]/SalesData[[#This Row],[Sales]]</f>
        <v>0.13130649038461537</v>
      </c>
    </row>
    <row r="69" spans="1:14">
      <c r="A69" t="s">
        <v>188</v>
      </c>
      <c r="B69" s="6">
        <v>45887</v>
      </c>
      <c r="C69" t="s">
        <v>189</v>
      </c>
      <c r="D69" t="s">
        <v>40</v>
      </c>
      <c r="E69" t="s">
        <v>41</v>
      </c>
      <c r="F69" t="s">
        <v>42</v>
      </c>
      <c r="G69">
        <v>4</v>
      </c>
      <c r="H69" s="7">
        <v>120</v>
      </c>
      <c r="I69" s="8">
        <v>0.05</v>
      </c>
      <c r="J69" s="7">
        <v>456</v>
      </c>
      <c r="K69" s="7">
        <v>50.84</v>
      </c>
      <c r="L69" t="s">
        <v>43</v>
      </c>
      <c r="M69" t="s">
        <v>75</v>
      </c>
      <c r="N69" s="9">
        <f>SalesData[[#This Row],[Profit]]/SalesData[[#This Row],[Sales]]</f>
        <v>0.11149122807017545</v>
      </c>
    </row>
    <row r="70" spans="1:14">
      <c r="A70" t="s">
        <v>190</v>
      </c>
      <c r="B70" s="6">
        <v>45900</v>
      </c>
      <c r="C70" t="s">
        <v>191</v>
      </c>
      <c r="D70" t="s">
        <v>56</v>
      </c>
      <c r="E70" t="s">
        <v>66</v>
      </c>
      <c r="F70" t="s">
        <v>67</v>
      </c>
      <c r="G70">
        <v>3</v>
      </c>
      <c r="H70" s="7">
        <v>2200</v>
      </c>
      <c r="I70" s="8">
        <v>0.15</v>
      </c>
      <c r="J70" s="7">
        <v>5610</v>
      </c>
      <c r="K70" s="7">
        <v>397.45</v>
      </c>
      <c r="L70" t="s">
        <v>68</v>
      </c>
      <c r="M70" t="s">
        <v>44</v>
      </c>
      <c r="N70" s="9">
        <f>SalesData[[#This Row],[Profit]]/SalesData[[#This Row],[Sales]]</f>
        <v>7.0846702317290552E-2</v>
      </c>
    </row>
    <row r="71" spans="1:14">
      <c r="A71" t="s">
        <v>192</v>
      </c>
      <c r="B71" s="6">
        <v>45719</v>
      </c>
      <c r="C71" t="s">
        <v>193</v>
      </c>
      <c r="D71" t="s">
        <v>56</v>
      </c>
      <c r="E71" t="s">
        <v>47</v>
      </c>
      <c r="F71" t="s">
        <v>98</v>
      </c>
      <c r="G71">
        <v>2</v>
      </c>
      <c r="H71" s="7">
        <v>14500</v>
      </c>
      <c r="I71" s="8">
        <v>0.05</v>
      </c>
      <c r="J71" s="7">
        <v>27550</v>
      </c>
      <c r="K71" s="7">
        <v>4977.6400000000003</v>
      </c>
      <c r="L71" t="s">
        <v>68</v>
      </c>
      <c r="M71" t="s">
        <v>75</v>
      </c>
      <c r="N71" s="9">
        <f>SalesData[[#This Row],[Profit]]/SalesData[[#This Row],[Sales]]</f>
        <v>0.18067658802177861</v>
      </c>
    </row>
    <row r="72" spans="1:14">
      <c r="A72" t="s">
        <v>194</v>
      </c>
      <c r="B72" s="6">
        <v>45709</v>
      </c>
      <c r="C72" t="s">
        <v>193</v>
      </c>
      <c r="D72" t="s">
        <v>56</v>
      </c>
      <c r="E72" t="s">
        <v>53</v>
      </c>
      <c r="F72" t="s">
        <v>119</v>
      </c>
      <c r="G72">
        <v>2</v>
      </c>
      <c r="H72" s="7">
        <v>6500</v>
      </c>
      <c r="I72" s="8">
        <v>0.1</v>
      </c>
      <c r="J72" s="7">
        <v>11700</v>
      </c>
      <c r="K72" s="7">
        <v>552.99</v>
      </c>
      <c r="L72" t="s">
        <v>43</v>
      </c>
      <c r="M72" t="s">
        <v>44</v>
      </c>
      <c r="N72" s="9">
        <f>SalesData[[#This Row],[Profit]]/SalesData[[#This Row],[Sales]]</f>
        <v>4.7264102564102566E-2</v>
      </c>
    </row>
    <row r="73" spans="1:14">
      <c r="A73" t="s">
        <v>195</v>
      </c>
      <c r="B73" s="6">
        <v>45798</v>
      </c>
      <c r="C73" t="s">
        <v>142</v>
      </c>
      <c r="D73" t="s">
        <v>40</v>
      </c>
      <c r="E73" t="s">
        <v>41</v>
      </c>
      <c r="F73" t="s">
        <v>42</v>
      </c>
      <c r="G73">
        <v>6</v>
      </c>
      <c r="H73" s="7">
        <v>120</v>
      </c>
      <c r="I73" s="8">
        <v>0.15</v>
      </c>
      <c r="J73" s="7">
        <v>612</v>
      </c>
      <c r="K73" s="7">
        <v>26.88</v>
      </c>
      <c r="L73" t="s">
        <v>49</v>
      </c>
      <c r="M73" t="s">
        <v>75</v>
      </c>
      <c r="N73" s="9">
        <f>SalesData[[#This Row],[Profit]]/SalesData[[#This Row],[Sales]]</f>
        <v>4.3921568627450981E-2</v>
      </c>
    </row>
    <row r="74" spans="1:14">
      <c r="A74" t="s">
        <v>196</v>
      </c>
      <c r="B74" s="6">
        <v>45898</v>
      </c>
      <c r="C74" t="s">
        <v>113</v>
      </c>
      <c r="D74" t="s">
        <v>52</v>
      </c>
      <c r="E74" t="s">
        <v>41</v>
      </c>
      <c r="F74" t="s">
        <v>42</v>
      </c>
      <c r="G74">
        <v>1</v>
      </c>
      <c r="H74" s="7">
        <v>120</v>
      </c>
      <c r="I74" s="8">
        <v>0.1</v>
      </c>
      <c r="J74" s="7">
        <v>108</v>
      </c>
      <c r="K74" s="7">
        <v>21.12</v>
      </c>
      <c r="L74" t="s">
        <v>57</v>
      </c>
      <c r="M74" t="s">
        <v>44</v>
      </c>
      <c r="N74" s="9">
        <f>SalesData[[#This Row],[Profit]]/SalesData[[#This Row],[Sales]]</f>
        <v>0.19555555555555557</v>
      </c>
    </row>
    <row r="75" spans="1:14">
      <c r="A75" t="s">
        <v>198</v>
      </c>
      <c r="B75" s="6">
        <v>45691</v>
      </c>
      <c r="C75" t="s">
        <v>199</v>
      </c>
      <c r="D75" t="s">
        <v>52</v>
      </c>
      <c r="E75" t="s">
        <v>47</v>
      </c>
      <c r="F75" t="s">
        <v>48</v>
      </c>
      <c r="G75">
        <v>2</v>
      </c>
      <c r="H75" s="7">
        <v>52000</v>
      </c>
      <c r="I75" s="8">
        <v>0.05</v>
      </c>
      <c r="J75" s="7">
        <v>98800</v>
      </c>
      <c r="K75" s="7">
        <v>18997.53</v>
      </c>
      <c r="L75" t="s">
        <v>68</v>
      </c>
      <c r="M75" t="s">
        <v>44</v>
      </c>
      <c r="N75" s="9">
        <f>SalesData[[#This Row],[Profit]]/SalesData[[#This Row],[Sales]]</f>
        <v>0.19228269230769229</v>
      </c>
    </row>
    <row r="76" spans="1:14">
      <c r="A76" t="s">
        <v>200</v>
      </c>
      <c r="B76" s="6">
        <v>45785</v>
      </c>
      <c r="C76" t="s">
        <v>201</v>
      </c>
      <c r="D76" t="s">
        <v>52</v>
      </c>
      <c r="E76" t="s">
        <v>53</v>
      </c>
      <c r="F76" t="s">
        <v>54</v>
      </c>
      <c r="G76">
        <v>4</v>
      </c>
      <c r="H76" s="7">
        <v>7800</v>
      </c>
      <c r="I76" s="8">
        <v>0.15</v>
      </c>
      <c r="J76" s="7">
        <v>26520</v>
      </c>
      <c r="K76" s="7">
        <v>1991.03</v>
      </c>
      <c r="L76" t="s">
        <v>43</v>
      </c>
      <c r="M76" t="s">
        <v>75</v>
      </c>
      <c r="N76" s="9">
        <f>SalesData[[#This Row],[Profit]]/SalesData[[#This Row],[Sales]]</f>
        <v>7.5076546003016595E-2</v>
      </c>
    </row>
    <row r="77" spans="1:14">
      <c r="A77" t="s">
        <v>202</v>
      </c>
      <c r="B77" s="6">
        <v>45814</v>
      </c>
      <c r="C77" t="s">
        <v>203</v>
      </c>
      <c r="D77" t="s">
        <v>40</v>
      </c>
      <c r="E77" t="s">
        <v>53</v>
      </c>
      <c r="F77" t="s">
        <v>162</v>
      </c>
      <c r="G77">
        <v>3</v>
      </c>
      <c r="H77" s="7">
        <v>12000</v>
      </c>
      <c r="I77" s="8">
        <v>0</v>
      </c>
      <c r="J77" s="7">
        <v>36000</v>
      </c>
      <c r="K77" s="7">
        <v>3784.65</v>
      </c>
      <c r="L77" t="s">
        <v>74</v>
      </c>
      <c r="M77" t="s">
        <v>44</v>
      </c>
      <c r="N77" s="9">
        <f>SalesData[[#This Row],[Profit]]/SalesData[[#This Row],[Sales]]</f>
        <v>0.10512916666666666</v>
      </c>
    </row>
    <row r="78" spans="1:14">
      <c r="A78" t="s">
        <v>204</v>
      </c>
      <c r="B78" s="6">
        <v>45738</v>
      </c>
      <c r="C78" t="s">
        <v>205</v>
      </c>
      <c r="D78" t="s">
        <v>52</v>
      </c>
      <c r="E78" t="s">
        <v>66</v>
      </c>
      <c r="F78" t="s">
        <v>149</v>
      </c>
      <c r="G78">
        <v>3</v>
      </c>
      <c r="H78" s="7">
        <v>1800</v>
      </c>
      <c r="I78" s="8">
        <v>0</v>
      </c>
      <c r="J78" s="7">
        <v>5400</v>
      </c>
      <c r="K78" s="7">
        <v>632</v>
      </c>
      <c r="L78" t="s">
        <v>68</v>
      </c>
      <c r="M78" t="s">
        <v>75</v>
      </c>
      <c r="N78" s="9">
        <f>SalesData[[#This Row],[Profit]]/SalesData[[#This Row],[Sales]]</f>
        <v>0.11703703703703704</v>
      </c>
    </row>
    <row r="79" spans="1:14">
      <c r="A79" t="s">
        <v>206</v>
      </c>
      <c r="B79" s="6">
        <v>45694</v>
      </c>
      <c r="C79" t="s">
        <v>207</v>
      </c>
      <c r="D79" t="s">
        <v>56</v>
      </c>
      <c r="E79" t="s">
        <v>53</v>
      </c>
      <c r="F79" t="s">
        <v>54</v>
      </c>
      <c r="G79">
        <v>1</v>
      </c>
      <c r="H79" s="7">
        <v>7800</v>
      </c>
      <c r="I79" s="8">
        <v>0.2</v>
      </c>
      <c r="J79" s="7">
        <v>6240</v>
      </c>
      <c r="K79" s="7">
        <v>286.85000000000002</v>
      </c>
      <c r="L79" t="s">
        <v>74</v>
      </c>
      <c r="M79" t="s">
        <v>75</v>
      </c>
      <c r="N79" s="9">
        <f>SalesData[[#This Row],[Profit]]/SalesData[[#This Row],[Sales]]</f>
        <v>4.5969551282051282E-2</v>
      </c>
    </row>
    <row r="80" spans="1:14">
      <c r="A80" t="s">
        <v>208</v>
      </c>
      <c r="B80" s="6">
        <v>45730</v>
      </c>
      <c r="C80" t="s">
        <v>209</v>
      </c>
      <c r="D80" t="s">
        <v>40</v>
      </c>
      <c r="E80" t="s">
        <v>53</v>
      </c>
      <c r="F80" t="s">
        <v>119</v>
      </c>
      <c r="G80">
        <v>5</v>
      </c>
      <c r="H80" s="7">
        <v>6500</v>
      </c>
      <c r="I80" s="8">
        <v>0.2</v>
      </c>
      <c r="J80" s="7">
        <v>26000</v>
      </c>
      <c r="K80" s="7">
        <v>4092.16</v>
      </c>
      <c r="L80" t="s">
        <v>57</v>
      </c>
      <c r="M80" t="s">
        <v>44</v>
      </c>
      <c r="N80" s="9">
        <f>SalesData[[#This Row],[Profit]]/SalesData[[#This Row],[Sales]]</f>
        <v>0.15739076923076922</v>
      </c>
    </row>
    <row r="81" spans="1:14">
      <c r="A81" t="s">
        <v>210</v>
      </c>
      <c r="B81" s="6">
        <v>45897</v>
      </c>
      <c r="C81" t="s">
        <v>179</v>
      </c>
      <c r="D81" t="s">
        <v>52</v>
      </c>
      <c r="E81" t="s">
        <v>41</v>
      </c>
      <c r="F81" t="s">
        <v>91</v>
      </c>
      <c r="G81">
        <v>4</v>
      </c>
      <c r="H81" s="7">
        <v>220</v>
      </c>
      <c r="I81" s="8">
        <v>0</v>
      </c>
      <c r="J81" s="7">
        <v>880</v>
      </c>
      <c r="K81" s="7">
        <v>154.6</v>
      </c>
      <c r="L81" t="s">
        <v>57</v>
      </c>
      <c r="M81" t="s">
        <v>75</v>
      </c>
      <c r="N81" s="9">
        <f>SalesData[[#This Row],[Profit]]/SalesData[[#This Row],[Sales]]</f>
        <v>0.17568181818181819</v>
      </c>
    </row>
    <row r="82" spans="1:14">
      <c r="A82" t="s">
        <v>211</v>
      </c>
      <c r="B82" s="6">
        <v>45967</v>
      </c>
      <c r="C82" t="s">
        <v>172</v>
      </c>
      <c r="D82" t="s">
        <v>40</v>
      </c>
      <c r="E82" t="s">
        <v>47</v>
      </c>
      <c r="F82" t="s">
        <v>98</v>
      </c>
      <c r="G82">
        <v>6</v>
      </c>
      <c r="H82" s="7">
        <v>14500</v>
      </c>
      <c r="I82" s="8">
        <v>0.2</v>
      </c>
      <c r="J82" s="7">
        <v>69600</v>
      </c>
      <c r="K82" s="7">
        <v>7234.2</v>
      </c>
      <c r="L82" t="s">
        <v>49</v>
      </c>
      <c r="M82" t="s">
        <v>75</v>
      </c>
      <c r="N82" s="9">
        <f>SalesData[[#This Row],[Profit]]/SalesData[[#This Row],[Sales]]</f>
        <v>0.1039396551724138</v>
      </c>
    </row>
    <row r="83" spans="1:14">
      <c r="A83" t="s">
        <v>212</v>
      </c>
      <c r="B83" s="6">
        <v>45953</v>
      </c>
      <c r="C83" t="s">
        <v>213</v>
      </c>
      <c r="D83" t="s">
        <v>71</v>
      </c>
      <c r="E83" t="s">
        <v>66</v>
      </c>
      <c r="F83" t="s">
        <v>149</v>
      </c>
      <c r="G83">
        <v>3</v>
      </c>
      <c r="H83" s="7">
        <v>1800</v>
      </c>
      <c r="I83" s="8">
        <v>0.05</v>
      </c>
      <c r="J83" s="7">
        <v>5130</v>
      </c>
      <c r="K83" s="7">
        <v>1138.92</v>
      </c>
      <c r="L83" t="s">
        <v>57</v>
      </c>
      <c r="M83" t="s">
        <v>75</v>
      </c>
      <c r="N83" s="9">
        <f>SalesData[[#This Row],[Profit]]/SalesData[[#This Row],[Sales]]</f>
        <v>0.22201169590643277</v>
      </c>
    </row>
    <row r="84" spans="1:14">
      <c r="A84" t="s">
        <v>214</v>
      </c>
      <c r="B84" s="6">
        <v>45704</v>
      </c>
      <c r="C84" t="s">
        <v>215</v>
      </c>
      <c r="D84" t="s">
        <v>56</v>
      </c>
      <c r="E84" t="s">
        <v>66</v>
      </c>
      <c r="F84" t="s">
        <v>67</v>
      </c>
      <c r="G84">
        <v>3</v>
      </c>
      <c r="H84" s="7">
        <v>2200</v>
      </c>
      <c r="I84" s="8">
        <v>0</v>
      </c>
      <c r="J84" s="7">
        <v>6600</v>
      </c>
      <c r="K84" s="7">
        <v>1433.77</v>
      </c>
      <c r="L84" t="s">
        <v>68</v>
      </c>
      <c r="M84" t="s">
        <v>75</v>
      </c>
      <c r="N84" s="9">
        <f>SalesData[[#This Row],[Profit]]/SalesData[[#This Row],[Sales]]</f>
        <v>0.21723787878787879</v>
      </c>
    </row>
    <row r="85" spans="1:14">
      <c r="A85" t="s">
        <v>216</v>
      </c>
      <c r="B85" s="6">
        <v>46013</v>
      </c>
      <c r="C85" t="s">
        <v>217</v>
      </c>
      <c r="D85" t="s">
        <v>56</v>
      </c>
      <c r="E85" t="s">
        <v>66</v>
      </c>
      <c r="F85" t="s">
        <v>135</v>
      </c>
      <c r="G85">
        <v>4</v>
      </c>
      <c r="H85" s="7">
        <v>900</v>
      </c>
      <c r="I85" s="8">
        <v>0</v>
      </c>
      <c r="J85" s="7">
        <v>3600</v>
      </c>
      <c r="K85" s="7">
        <v>469.16</v>
      </c>
      <c r="L85" t="s">
        <v>68</v>
      </c>
      <c r="M85" t="s">
        <v>44</v>
      </c>
      <c r="N85" s="9">
        <f>SalesData[[#This Row],[Profit]]/SalesData[[#This Row],[Sales]]</f>
        <v>0.13032222222222223</v>
      </c>
    </row>
    <row r="86" spans="1:14">
      <c r="A86" t="s">
        <v>218</v>
      </c>
      <c r="B86" s="6">
        <v>45864</v>
      </c>
      <c r="C86" t="s">
        <v>151</v>
      </c>
      <c r="D86" t="s">
        <v>40</v>
      </c>
      <c r="E86" t="s">
        <v>66</v>
      </c>
      <c r="F86" t="s">
        <v>149</v>
      </c>
      <c r="G86">
        <v>1</v>
      </c>
      <c r="H86" s="7">
        <v>1800</v>
      </c>
      <c r="I86" s="8">
        <v>0.05</v>
      </c>
      <c r="J86" s="7">
        <v>1710</v>
      </c>
      <c r="K86" s="7">
        <v>248.72</v>
      </c>
      <c r="L86" t="s">
        <v>43</v>
      </c>
      <c r="M86" t="s">
        <v>75</v>
      </c>
      <c r="N86" s="9">
        <f>SalesData[[#This Row],[Profit]]/SalesData[[#This Row],[Sales]]</f>
        <v>0.14545029239766083</v>
      </c>
    </row>
    <row r="87" spans="1:14">
      <c r="A87" t="s">
        <v>219</v>
      </c>
      <c r="B87" s="6">
        <v>45978</v>
      </c>
      <c r="C87" t="s">
        <v>220</v>
      </c>
      <c r="D87" t="s">
        <v>40</v>
      </c>
      <c r="E87" t="s">
        <v>53</v>
      </c>
      <c r="F87" t="s">
        <v>119</v>
      </c>
      <c r="G87">
        <v>5</v>
      </c>
      <c r="H87" s="7">
        <v>6500</v>
      </c>
      <c r="I87" s="8">
        <v>0.05</v>
      </c>
      <c r="J87" s="7">
        <v>30875</v>
      </c>
      <c r="K87" s="7">
        <v>6512.39</v>
      </c>
      <c r="L87" t="s">
        <v>57</v>
      </c>
      <c r="M87" t="s">
        <v>75</v>
      </c>
      <c r="N87" s="9">
        <f>SalesData[[#This Row],[Profit]]/SalesData[[#This Row],[Sales]]</f>
        <v>0.21092761133603241</v>
      </c>
    </row>
    <row r="88" spans="1:14">
      <c r="A88" t="s">
        <v>221</v>
      </c>
      <c r="B88" s="6">
        <v>45720</v>
      </c>
      <c r="C88" t="s">
        <v>222</v>
      </c>
      <c r="D88" t="s">
        <v>71</v>
      </c>
      <c r="E88" t="s">
        <v>53</v>
      </c>
      <c r="F88" t="s">
        <v>119</v>
      </c>
      <c r="G88">
        <v>5</v>
      </c>
      <c r="H88" s="7">
        <v>6500</v>
      </c>
      <c r="I88" s="8">
        <v>0</v>
      </c>
      <c r="J88" s="7">
        <v>32500</v>
      </c>
      <c r="K88" s="7">
        <v>5471.71</v>
      </c>
      <c r="L88" t="s">
        <v>49</v>
      </c>
      <c r="M88" t="s">
        <v>44</v>
      </c>
      <c r="N88" s="9">
        <f>SalesData[[#This Row],[Profit]]/SalesData[[#This Row],[Sales]]</f>
        <v>0.1683603076923077</v>
      </c>
    </row>
    <row r="89" spans="1:14">
      <c r="A89" t="s">
        <v>223</v>
      </c>
      <c r="B89" s="6">
        <v>45716</v>
      </c>
      <c r="C89" t="s">
        <v>224</v>
      </c>
      <c r="D89" t="s">
        <v>40</v>
      </c>
      <c r="E89" t="s">
        <v>53</v>
      </c>
      <c r="F89" t="s">
        <v>54</v>
      </c>
      <c r="G89">
        <v>6</v>
      </c>
      <c r="H89" s="7">
        <v>7800</v>
      </c>
      <c r="I89" s="8">
        <v>0.1</v>
      </c>
      <c r="J89" s="7">
        <v>42120</v>
      </c>
      <c r="K89" s="7">
        <v>5324.79</v>
      </c>
      <c r="L89" t="s">
        <v>68</v>
      </c>
      <c r="M89" t="s">
        <v>75</v>
      </c>
      <c r="N89" s="9">
        <f>SalesData[[#This Row],[Profit]]/SalesData[[#This Row],[Sales]]</f>
        <v>0.12641951566951568</v>
      </c>
    </row>
    <row r="90" spans="1:14">
      <c r="A90" t="s">
        <v>225</v>
      </c>
      <c r="B90" s="6">
        <v>45905</v>
      </c>
      <c r="C90" t="s">
        <v>215</v>
      </c>
      <c r="D90" t="s">
        <v>71</v>
      </c>
      <c r="E90" t="s">
        <v>66</v>
      </c>
      <c r="F90" t="s">
        <v>78</v>
      </c>
      <c r="G90">
        <v>4</v>
      </c>
      <c r="H90" s="7">
        <v>700</v>
      </c>
      <c r="I90" s="8">
        <v>0.05</v>
      </c>
      <c r="J90" s="7">
        <v>2660</v>
      </c>
      <c r="K90" s="7">
        <v>558.6</v>
      </c>
      <c r="L90" t="s">
        <v>43</v>
      </c>
      <c r="M90" t="s">
        <v>44</v>
      </c>
      <c r="N90" s="9">
        <f>SalesData[[#This Row],[Profit]]/SalesData[[#This Row],[Sales]]</f>
        <v>0.21000000000000002</v>
      </c>
    </row>
    <row r="91" spans="1:14">
      <c r="A91" t="s">
        <v>226</v>
      </c>
      <c r="B91" s="6">
        <v>45693</v>
      </c>
      <c r="C91" t="s">
        <v>227</v>
      </c>
      <c r="D91" t="s">
        <v>52</v>
      </c>
      <c r="E91" t="s">
        <v>41</v>
      </c>
      <c r="F91" t="s">
        <v>85</v>
      </c>
      <c r="G91">
        <v>1</v>
      </c>
      <c r="H91" s="7">
        <v>1600</v>
      </c>
      <c r="I91" s="8">
        <v>0.1</v>
      </c>
      <c r="J91" s="7">
        <v>1440</v>
      </c>
      <c r="K91" s="7">
        <v>232.08</v>
      </c>
      <c r="L91" t="s">
        <v>43</v>
      </c>
      <c r="M91" t="s">
        <v>75</v>
      </c>
      <c r="N91" s="9">
        <f>SalesData[[#This Row],[Profit]]/SalesData[[#This Row],[Sales]]</f>
        <v>0.16116666666666668</v>
      </c>
    </row>
    <row r="92" spans="1:14">
      <c r="A92" t="s">
        <v>228</v>
      </c>
      <c r="B92" s="6">
        <v>45734</v>
      </c>
      <c r="C92" t="s">
        <v>229</v>
      </c>
      <c r="D92" t="s">
        <v>52</v>
      </c>
      <c r="E92" t="s">
        <v>41</v>
      </c>
      <c r="F92" t="s">
        <v>85</v>
      </c>
      <c r="G92">
        <v>5</v>
      </c>
      <c r="H92" s="7">
        <v>1600</v>
      </c>
      <c r="I92" s="8">
        <v>0.2</v>
      </c>
      <c r="J92" s="7">
        <v>6400</v>
      </c>
      <c r="K92" s="7">
        <v>450.26</v>
      </c>
      <c r="L92" t="s">
        <v>68</v>
      </c>
      <c r="M92" t="s">
        <v>44</v>
      </c>
      <c r="N92" s="9">
        <f>SalesData[[#This Row],[Profit]]/SalesData[[#This Row],[Sales]]</f>
        <v>7.0353125000000002E-2</v>
      </c>
    </row>
    <row r="93" spans="1:14">
      <c r="A93" t="s">
        <v>230</v>
      </c>
      <c r="B93" s="6">
        <v>46015</v>
      </c>
      <c r="C93" t="s">
        <v>93</v>
      </c>
      <c r="D93" t="s">
        <v>52</v>
      </c>
      <c r="E93" t="s">
        <v>53</v>
      </c>
      <c r="F93" t="s">
        <v>54</v>
      </c>
      <c r="G93">
        <v>1</v>
      </c>
      <c r="H93" s="7">
        <v>7800</v>
      </c>
      <c r="I93" s="8">
        <v>0.1</v>
      </c>
      <c r="J93" s="7">
        <v>7020</v>
      </c>
      <c r="K93" s="7">
        <v>1152.3499999999999</v>
      </c>
      <c r="L93" t="s">
        <v>57</v>
      </c>
      <c r="M93" t="s">
        <v>75</v>
      </c>
      <c r="N93" s="9">
        <f>SalesData[[#This Row],[Profit]]/SalesData[[#This Row],[Sales]]</f>
        <v>0.16415242165242164</v>
      </c>
    </row>
    <row r="94" spans="1:14">
      <c r="A94" t="s">
        <v>231</v>
      </c>
      <c r="B94" s="6">
        <v>45997</v>
      </c>
      <c r="C94" t="s">
        <v>129</v>
      </c>
      <c r="D94" t="s">
        <v>52</v>
      </c>
      <c r="E94" t="s">
        <v>47</v>
      </c>
      <c r="F94" t="s">
        <v>98</v>
      </c>
      <c r="G94">
        <v>5</v>
      </c>
      <c r="H94" s="7">
        <v>14500</v>
      </c>
      <c r="I94" s="8">
        <v>0.2</v>
      </c>
      <c r="J94" s="7">
        <v>58000</v>
      </c>
      <c r="K94" s="7">
        <v>3660.91</v>
      </c>
      <c r="L94" t="s">
        <v>49</v>
      </c>
      <c r="M94" t="s">
        <v>75</v>
      </c>
      <c r="N94" s="9">
        <f>SalesData[[#This Row],[Profit]]/SalesData[[#This Row],[Sales]]</f>
        <v>6.3119137931034477E-2</v>
      </c>
    </row>
    <row r="95" spans="1:14">
      <c r="A95" t="s">
        <v>232</v>
      </c>
      <c r="B95" s="6">
        <v>45709</v>
      </c>
      <c r="C95" t="s">
        <v>233</v>
      </c>
      <c r="D95" t="s">
        <v>52</v>
      </c>
      <c r="E95" t="s">
        <v>47</v>
      </c>
      <c r="F95" t="s">
        <v>98</v>
      </c>
      <c r="G95">
        <v>4</v>
      </c>
      <c r="H95" s="7">
        <v>14500</v>
      </c>
      <c r="I95" s="8">
        <v>0.05</v>
      </c>
      <c r="J95" s="7">
        <v>55100</v>
      </c>
      <c r="K95" s="7">
        <v>4103.4399999999996</v>
      </c>
      <c r="L95" t="s">
        <v>68</v>
      </c>
      <c r="M95" t="s">
        <v>75</v>
      </c>
      <c r="N95" s="9">
        <f>SalesData[[#This Row],[Profit]]/SalesData[[#This Row],[Sales]]</f>
        <v>7.4472595281306703E-2</v>
      </c>
    </row>
    <row r="96" spans="1:14">
      <c r="A96" t="s">
        <v>234</v>
      </c>
      <c r="B96" s="6">
        <v>45977</v>
      </c>
      <c r="C96" t="s">
        <v>235</v>
      </c>
      <c r="D96" t="s">
        <v>40</v>
      </c>
      <c r="E96" t="s">
        <v>41</v>
      </c>
      <c r="F96" t="s">
        <v>91</v>
      </c>
      <c r="G96">
        <v>3</v>
      </c>
      <c r="H96" s="7">
        <v>220</v>
      </c>
      <c r="I96" s="8">
        <v>0.15</v>
      </c>
      <c r="J96" s="7">
        <v>561</v>
      </c>
      <c r="K96" s="7">
        <v>93.73</v>
      </c>
      <c r="L96" t="s">
        <v>49</v>
      </c>
      <c r="M96" t="s">
        <v>44</v>
      </c>
      <c r="N96" s="9">
        <f>SalesData[[#This Row],[Profit]]/SalesData[[#This Row],[Sales]]</f>
        <v>0.16707664884135473</v>
      </c>
    </row>
    <row r="97" spans="1:14">
      <c r="A97" t="s">
        <v>236</v>
      </c>
      <c r="B97" s="6">
        <v>45778</v>
      </c>
      <c r="C97" t="s">
        <v>237</v>
      </c>
      <c r="D97" t="s">
        <v>71</v>
      </c>
      <c r="E97" t="s">
        <v>47</v>
      </c>
      <c r="F97" t="s">
        <v>60</v>
      </c>
      <c r="G97">
        <v>1</v>
      </c>
      <c r="H97" s="7">
        <v>2500</v>
      </c>
      <c r="I97" s="8">
        <v>0</v>
      </c>
      <c r="J97" s="7">
        <v>2500</v>
      </c>
      <c r="K97" s="7">
        <v>377.47</v>
      </c>
      <c r="L97" t="s">
        <v>68</v>
      </c>
      <c r="M97" t="s">
        <v>44</v>
      </c>
      <c r="N97" s="9">
        <f>SalesData[[#This Row],[Profit]]/SalesData[[#This Row],[Sales]]</f>
        <v>0.15098800000000001</v>
      </c>
    </row>
    <row r="98" spans="1:14">
      <c r="A98" t="s">
        <v>238</v>
      </c>
      <c r="B98" s="6">
        <v>45681</v>
      </c>
      <c r="C98" t="s">
        <v>73</v>
      </c>
      <c r="D98" t="s">
        <v>40</v>
      </c>
      <c r="E98" t="s">
        <v>41</v>
      </c>
      <c r="F98" t="s">
        <v>85</v>
      </c>
      <c r="G98">
        <v>3</v>
      </c>
      <c r="H98" s="7">
        <v>1600</v>
      </c>
      <c r="I98" s="8">
        <v>0.15</v>
      </c>
      <c r="J98" s="7">
        <v>4080</v>
      </c>
      <c r="K98" s="7">
        <v>207.23</v>
      </c>
      <c r="L98" t="s">
        <v>43</v>
      </c>
      <c r="M98" t="s">
        <v>75</v>
      </c>
      <c r="N98" s="9">
        <f>SalesData[[#This Row],[Profit]]/SalesData[[#This Row],[Sales]]</f>
        <v>5.0791666666666666E-2</v>
      </c>
    </row>
    <row r="99" spans="1:14">
      <c r="A99" t="s">
        <v>239</v>
      </c>
      <c r="B99" s="6">
        <v>45947</v>
      </c>
      <c r="C99" t="s">
        <v>240</v>
      </c>
      <c r="D99" t="s">
        <v>71</v>
      </c>
      <c r="E99" t="s">
        <v>53</v>
      </c>
      <c r="F99" t="s">
        <v>63</v>
      </c>
      <c r="G99">
        <v>5</v>
      </c>
      <c r="H99" s="7">
        <v>8500</v>
      </c>
      <c r="I99" s="8">
        <v>0.15</v>
      </c>
      <c r="J99" s="7">
        <v>36125</v>
      </c>
      <c r="K99" s="7">
        <v>4575.3599999999997</v>
      </c>
      <c r="L99" t="s">
        <v>74</v>
      </c>
      <c r="M99" t="s">
        <v>75</v>
      </c>
      <c r="N99" s="9">
        <f>SalesData[[#This Row],[Profit]]/SalesData[[#This Row],[Sales]]</f>
        <v>0.12665356401384081</v>
      </c>
    </row>
    <row r="100" spans="1:14">
      <c r="A100" t="s">
        <v>241</v>
      </c>
      <c r="B100" s="6">
        <v>45956</v>
      </c>
      <c r="C100" t="s">
        <v>242</v>
      </c>
      <c r="D100" t="s">
        <v>71</v>
      </c>
      <c r="E100" t="s">
        <v>66</v>
      </c>
      <c r="F100" t="s">
        <v>67</v>
      </c>
      <c r="G100">
        <v>4</v>
      </c>
      <c r="H100" s="7">
        <v>2200</v>
      </c>
      <c r="I100" s="8">
        <v>0.1</v>
      </c>
      <c r="J100" s="7">
        <v>7920</v>
      </c>
      <c r="K100" s="7">
        <v>1201.42</v>
      </c>
      <c r="L100" t="s">
        <v>57</v>
      </c>
      <c r="M100" t="s">
        <v>75</v>
      </c>
      <c r="N100" s="9">
        <f>SalesData[[#This Row],[Profit]]/SalesData[[#This Row],[Sales]]</f>
        <v>0.15169444444444447</v>
      </c>
    </row>
    <row r="101" spans="1:14">
      <c r="A101" t="s">
        <v>243</v>
      </c>
      <c r="B101" s="6">
        <v>46004</v>
      </c>
      <c r="C101" t="s">
        <v>51</v>
      </c>
      <c r="D101" t="s">
        <v>71</v>
      </c>
      <c r="E101" t="s">
        <v>47</v>
      </c>
      <c r="F101" t="s">
        <v>60</v>
      </c>
      <c r="G101">
        <v>3</v>
      </c>
      <c r="H101" s="7">
        <v>2500</v>
      </c>
      <c r="I101" s="8">
        <v>0.2</v>
      </c>
      <c r="J101" s="7">
        <v>6000</v>
      </c>
      <c r="K101" s="7">
        <v>347.19</v>
      </c>
      <c r="L101" t="s">
        <v>57</v>
      </c>
      <c r="M101" t="s">
        <v>75</v>
      </c>
      <c r="N101" s="9">
        <f>SalesData[[#This Row],[Profit]]/SalesData[[#This Row],[Sales]]</f>
        <v>5.7865E-2</v>
      </c>
    </row>
    <row r="102" spans="1:14">
      <c r="A102" t="s">
        <v>244</v>
      </c>
      <c r="B102" s="6">
        <v>45891</v>
      </c>
      <c r="C102" t="s">
        <v>179</v>
      </c>
      <c r="D102" t="s">
        <v>71</v>
      </c>
      <c r="E102" t="s">
        <v>66</v>
      </c>
      <c r="F102" t="s">
        <v>149</v>
      </c>
      <c r="G102">
        <v>1</v>
      </c>
      <c r="H102" s="7">
        <v>1800</v>
      </c>
      <c r="I102" s="8">
        <v>0.05</v>
      </c>
      <c r="J102" s="7">
        <v>1710</v>
      </c>
      <c r="K102" s="7">
        <v>211.22</v>
      </c>
      <c r="L102" t="s">
        <v>68</v>
      </c>
      <c r="M102" t="s">
        <v>75</v>
      </c>
      <c r="N102" s="9">
        <f>SalesData[[#This Row],[Profit]]/SalesData[[#This Row],[Sales]]</f>
        <v>0.12352046783625731</v>
      </c>
    </row>
    <row r="103" spans="1:14">
      <c r="A103" t="s">
        <v>245</v>
      </c>
      <c r="B103" s="6">
        <v>46016</v>
      </c>
      <c r="C103" t="s">
        <v>62</v>
      </c>
      <c r="D103" t="s">
        <v>40</v>
      </c>
      <c r="E103" t="s">
        <v>66</v>
      </c>
      <c r="F103" t="s">
        <v>67</v>
      </c>
      <c r="G103">
        <v>1</v>
      </c>
      <c r="H103" s="7">
        <v>2200</v>
      </c>
      <c r="I103" s="8">
        <v>0.2</v>
      </c>
      <c r="J103" s="7">
        <v>1760</v>
      </c>
      <c r="K103" s="7">
        <v>261.2</v>
      </c>
      <c r="L103" t="s">
        <v>49</v>
      </c>
      <c r="M103" t="s">
        <v>75</v>
      </c>
      <c r="N103" s="9">
        <f>SalesData[[#This Row],[Profit]]/SalesData[[#This Row],[Sales]]</f>
        <v>0.14840909090909091</v>
      </c>
    </row>
    <row r="104" spans="1:14">
      <c r="A104" t="s">
        <v>246</v>
      </c>
      <c r="B104" s="6">
        <v>45804</v>
      </c>
      <c r="C104" t="s">
        <v>137</v>
      </c>
      <c r="D104" t="s">
        <v>56</v>
      </c>
      <c r="E104" t="s">
        <v>53</v>
      </c>
      <c r="F104" t="s">
        <v>162</v>
      </c>
      <c r="G104">
        <v>5</v>
      </c>
      <c r="H104" s="7">
        <v>12000</v>
      </c>
      <c r="I104" s="8">
        <v>0.1</v>
      </c>
      <c r="J104" s="7">
        <v>54000</v>
      </c>
      <c r="K104" s="7">
        <v>8285.8799999999992</v>
      </c>
      <c r="L104" t="s">
        <v>74</v>
      </c>
      <c r="M104" t="s">
        <v>44</v>
      </c>
      <c r="N104" s="9">
        <f>SalesData[[#This Row],[Profit]]/SalesData[[#This Row],[Sales]]</f>
        <v>0.1534422222222222</v>
      </c>
    </row>
    <row r="105" spans="1:14">
      <c r="A105" t="s">
        <v>247</v>
      </c>
      <c r="B105" s="6">
        <v>45979</v>
      </c>
      <c r="C105" t="s">
        <v>213</v>
      </c>
      <c r="D105" t="s">
        <v>56</v>
      </c>
      <c r="E105" t="s">
        <v>66</v>
      </c>
      <c r="F105" t="s">
        <v>135</v>
      </c>
      <c r="G105">
        <v>5</v>
      </c>
      <c r="H105" s="7">
        <v>900</v>
      </c>
      <c r="I105" s="8">
        <v>0.1</v>
      </c>
      <c r="J105" s="7">
        <v>4050</v>
      </c>
      <c r="K105" s="7">
        <v>656.82</v>
      </c>
      <c r="L105" t="s">
        <v>49</v>
      </c>
      <c r="M105" t="s">
        <v>75</v>
      </c>
      <c r="N105" s="9">
        <f>SalesData[[#This Row],[Profit]]/SalesData[[#This Row],[Sales]]</f>
        <v>0.16217777777777778</v>
      </c>
    </row>
    <row r="106" spans="1:14">
      <c r="A106" t="s">
        <v>248</v>
      </c>
      <c r="B106" s="6">
        <v>45825</v>
      </c>
      <c r="C106" t="s">
        <v>249</v>
      </c>
      <c r="D106" t="s">
        <v>71</v>
      </c>
      <c r="E106" t="s">
        <v>53</v>
      </c>
      <c r="F106" t="s">
        <v>162</v>
      </c>
      <c r="G106">
        <v>5</v>
      </c>
      <c r="H106" s="7">
        <v>12000</v>
      </c>
      <c r="I106" s="8">
        <v>0.1</v>
      </c>
      <c r="J106" s="7">
        <v>54000</v>
      </c>
      <c r="K106" s="7">
        <v>7016.56</v>
      </c>
      <c r="L106" t="s">
        <v>68</v>
      </c>
      <c r="M106" t="s">
        <v>44</v>
      </c>
      <c r="N106" s="9">
        <f>SalesData[[#This Row],[Profit]]/SalesData[[#This Row],[Sales]]</f>
        <v>0.1299362962962963</v>
      </c>
    </row>
    <row r="107" spans="1:14">
      <c r="A107" t="s">
        <v>250</v>
      </c>
      <c r="B107" s="6">
        <v>45789</v>
      </c>
      <c r="C107" t="s">
        <v>251</v>
      </c>
      <c r="D107" t="s">
        <v>56</v>
      </c>
      <c r="E107" t="s">
        <v>41</v>
      </c>
      <c r="F107" t="s">
        <v>121</v>
      </c>
      <c r="G107">
        <v>4</v>
      </c>
      <c r="H107" s="7">
        <v>450</v>
      </c>
      <c r="I107" s="8">
        <v>0</v>
      </c>
      <c r="J107" s="7">
        <v>1800</v>
      </c>
      <c r="K107" s="7">
        <v>184.54</v>
      </c>
      <c r="L107" t="s">
        <v>74</v>
      </c>
      <c r="M107" t="s">
        <v>75</v>
      </c>
      <c r="N107" s="9">
        <f>SalesData[[#This Row],[Profit]]/SalesData[[#This Row],[Sales]]</f>
        <v>0.10252222222222222</v>
      </c>
    </row>
    <row r="108" spans="1:14">
      <c r="A108" t="s">
        <v>252</v>
      </c>
      <c r="B108" s="6">
        <v>45943</v>
      </c>
      <c r="C108" t="s">
        <v>253</v>
      </c>
      <c r="D108" t="s">
        <v>40</v>
      </c>
      <c r="E108" t="s">
        <v>66</v>
      </c>
      <c r="F108" t="s">
        <v>135</v>
      </c>
      <c r="G108">
        <v>3</v>
      </c>
      <c r="H108" s="7">
        <v>900</v>
      </c>
      <c r="I108" s="8">
        <v>0.2</v>
      </c>
      <c r="J108" s="7">
        <v>2160</v>
      </c>
      <c r="K108" s="7">
        <v>64.8</v>
      </c>
      <c r="L108" t="s">
        <v>68</v>
      </c>
      <c r="M108" t="s">
        <v>75</v>
      </c>
      <c r="N108" s="9">
        <f>SalesData[[#This Row],[Profit]]/SalesData[[#This Row],[Sales]]</f>
        <v>0.03</v>
      </c>
    </row>
    <row r="109" spans="1:14">
      <c r="A109" t="s">
        <v>254</v>
      </c>
      <c r="B109" s="6">
        <v>45957</v>
      </c>
      <c r="C109" t="s">
        <v>65</v>
      </c>
      <c r="D109" t="s">
        <v>56</v>
      </c>
      <c r="E109" t="s">
        <v>47</v>
      </c>
      <c r="F109" t="s">
        <v>98</v>
      </c>
      <c r="G109">
        <v>4</v>
      </c>
      <c r="H109" s="7">
        <v>14500</v>
      </c>
      <c r="I109" s="8">
        <v>0</v>
      </c>
      <c r="J109" s="7">
        <v>58000</v>
      </c>
      <c r="K109" s="7">
        <v>10389.39</v>
      </c>
      <c r="L109" t="s">
        <v>43</v>
      </c>
      <c r="M109" t="s">
        <v>75</v>
      </c>
      <c r="N109" s="9">
        <f>SalesData[[#This Row],[Profit]]/SalesData[[#This Row],[Sales]]</f>
        <v>0.17912741379310343</v>
      </c>
    </row>
    <row r="110" spans="1:14">
      <c r="A110" t="s">
        <v>255</v>
      </c>
      <c r="B110" s="6">
        <v>45970</v>
      </c>
      <c r="C110" t="s">
        <v>100</v>
      </c>
      <c r="D110" t="s">
        <v>40</v>
      </c>
      <c r="E110" t="s">
        <v>66</v>
      </c>
      <c r="F110" t="s">
        <v>67</v>
      </c>
      <c r="G110">
        <v>6</v>
      </c>
      <c r="H110" s="7">
        <v>2200</v>
      </c>
      <c r="I110" s="8">
        <v>0.15</v>
      </c>
      <c r="J110" s="7">
        <v>11220</v>
      </c>
      <c r="K110" s="7">
        <v>518.01</v>
      </c>
      <c r="L110" t="s">
        <v>49</v>
      </c>
      <c r="M110" t="s">
        <v>44</v>
      </c>
      <c r="N110" s="9">
        <f>SalesData[[#This Row],[Profit]]/SalesData[[#This Row],[Sales]]</f>
        <v>4.6168449197860964E-2</v>
      </c>
    </row>
    <row r="111" spans="1:14">
      <c r="A111" t="s">
        <v>256</v>
      </c>
      <c r="B111" s="6">
        <v>45813</v>
      </c>
      <c r="C111" t="s">
        <v>217</v>
      </c>
      <c r="D111" t="s">
        <v>40</v>
      </c>
      <c r="E111" t="s">
        <v>47</v>
      </c>
      <c r="F111" t="s">
        <v>98</v>
      </c>
      <c r="G111">
        <v>5</v>
      </c>
      <c r="H111" s="7">
        <v>14500</v>
      </c>
      <c r="I111" s="8">
        <v>0.05</v>
      </c>
      <c r="J111" s="7">
        <v>68875</v>
      </c>
      <c r="K111" s="7">
        <v>8587.56</v>
      </c>
      <c r="L111" t="s">
        <v>68</v>
      </c>
      <c r="M111" t="s">
        <v>75</v>
      </c>
      <c r="N111" s="9">
        <f>SalesData[[#This Row],[Profit]]/SalesData[[#This Row],[Sales]]</f>
        <v>0.1246832667876588</v>
      </c>
    </row>
    <row r="112" spans="1:14">
      <c r="A112" t="s">
        <v>257</v>
      </c>
      <c r="B112" s="6">
        <v>45958</v>
      </c>
      <c r="C112" t="s">
        <v>258</v>
      </c>
      <c r="D112" t="s">
        <v>52</v>
      </c>
      <c r="E112" t="s">
        <v>47</v>
      </c>
      <c r="F112" t="s">
        <v>60</v>
      </c>
      <c r="G112">
        <v>5</v>
      </c>
      <c r="H112" s="7">
        <v>2500</v>
      </c>
      <c r="I112" s="8">
        <v>0.15</v>
      </c>
      <c r="J112" s="7">
        <v>10625</v>
      </c>
      <c r="K112" s="7">
        <v>1888.58</v>
      </c>
      <c r="L112" t="s">
        <v>68</v>
      </c>
      <c r="M112" t="s">
        <v>44</v>
      </c>
      <c r="N112" s="9">
        <f>SalesData[[#This Row],[Profit]]/SalesData[[#This Row],[Sales]]</f>
        <v>0.17774870588235295</v>
      </c>
    </row>
    <row r="113" spans="1:14">
      <c r="A113" t="s">
        <v>259</v>
      </c>
      <c r="B113" s="6">
        <v>46011</v>
      </c>
      <c r="C113" t="s">
        <v>260</v>
      </c>
      <c r="D113" t="s">
        <v>71</v>
      </c>
      <c r="E113" t="s">
        <v>66</v>
      </c>
      <c r="F113" t="s">
        <v>149</v>
      </c>
      <c r="G113">
        <v>2</v>
      </c>
      <c r="H113" s="7">
        <v>1800</v>
      </c>
      <c r="I113" s="8">
        <v>0.1</v>
      </c>
      <c r="J113" s="7">
        <v>3240</v>
      </c>
      <c r="K113" s="7">
        <v>197.31</v>
      </c>
      <c r="L113" t="s">
        <v>68</v>
      </c>
      <c r="M113" t="s">
        <v>75</v>
      </c>
      <c r="N113" s="9">
        <f>SalesData[[#This Row],[Profit]]/SalesData[[#This Row],[Sales]]</f>
        <v>6.0898148148148146E-2</v>
      </c>
    </row>
    <row r="114" spans="1:14">
      <c r="A114" t="s">
        <v>261</v>
      </c>
      <c r="B114" s="6">
        <v>45689</v>
      </c>
      <c r="C114" t="s">
        <v>235</v>
      </c>
      <c r="D114" t="s">
        <v>56</v>
      </c>
      <c r="E114" t="s">
        <v>53</v>
      </c>
      <c r="F114" t="s">
        <v>63</v>
      </c>
      <c r="G114">
        <v>4</v>
      </c>
      <c r="H114" s="7">
        <v>8500</v>
      </c>
      <c r="I114" s="8">
        <v>0</v>
      </c>
      <c r="J114" s="7">
        <v>34000</v>
      </c>
      <c r="K114" s="7">
        <v>6325.46</v>
      </c>
      <c r="L114" t="s">
        <v>43</v>
      </c>
      <c r="M114" t="s">
        <v>44</v>
      </c>
      <c r="N114" s="9">
        <f>SalesData[[#This Row],[Profit]]/SalesData[[#This Row],[Sales]]</f>
        <v>0.18604294117647058</v>
      </c>
    </row>
    <row r="115" spans="1:14">
      <c r="A115" t="s">
        <v>262</v>
      </c>
      <c r="B115" s="6">
        <v>45683</v>
      </c>
      <c r="C115" t="s">
        <v>263</v>
      </c>
      <c r="D115" t="s">
        <v>71</v>
      </c>
      <c r="E115" t="s">
        <v>53</v>
      </c>
      <c r="F115" t="s">
        <v>162</v>
      </c>
      <c r="G115">
        <v>1</v>
      </c>
      <c r="H115" s="7">
        <v>12000</v>
      </c>
      <c r="I115" s="8">
        <v>0.2</v>
      </c>
      <c r="J115" s="7">
        <v>9600</v>
      </c>
      <c r="K115" s="7">
        <v>414.19</v>
      </c>
      <c r="L115" t="s">
        <v>74</v>
      </c>
      <c r="M115" t="s">
        <v>44</v>
      </c>
      <c r="N115" s="9">
        <f>SalesData[[#This Row],[Profit]]/SalesData[[#This Row],[Sales]]</f>
        <v>4.3144791666666668E-2</v>
      </c>
    </row>
    <row r="116" spans="1:14">
      <c r="A116" t="s">
        <v>264</v>
      </c>
      <c r="B116" s="6">
        <v>45826</v>
      </c>
      <c r="C116" t="s">
        <v>265</v>
      </c>
      <c r="D116" t="s">
        <v>40</v>
      </c>
      <c r="E116" t="s">
        <v>41</v>
      </c>
      <c r="F116" t="s">
        <v>42</v>
      </c>
      <c r="G116">
        <v>2</v>
      </c>
      <c r="H116" s="7">
        <v>120</v>
      </c>
      <c r="I116" s="8">
        <v>0.2</v>
      </c>
      <c r="J116" s="7">
        <v>192</v>
      </c>
      <c r="K116" s="7">
        <v>9.6199999999999992</v>
      </c>
      <c r="L116" t="s">
        <v>74</v>
      </c>
      <c r="M116" t="s">
        <v>44</v>
      </c>
      <c r="N116" s="9">
        <f>SalesData[[#This Row],[Profit]]/SalesData[[#This Row],[Sales]]</f>
        <v>5.0104166666666665E-2</v>
      </c>
    </row>
    <row r="117" spans="1:14">
      <c r="A117" t="s">
        <v>266</v>
      </c>
      <c r="B117" s="6">
        <v>45996</v>
      </c>
      <c r="C117" t="s">
        <v>267</v>
      </c>
      <c r="D117" t="s">
        <v>71</v>
      </c>
      <c r="E117" t="s">
        <v>47</v>
      </c>
      <c r="F117" t="s">
        <v>88</v>
      </c>
      <c r="G117">
        <v>2</v>
      </c>
      <c r="H117" s="7">
        <v>1800</v>
      </c>
      <c r="I117" s="8">
        <v>0.2</v>
      </c>
      <c r="J117" s="7">
        <v>2880</v>
      </c>
      <c r="K117" s="7">
        <v>177.99</v>
      </c>
      <c r="L117" t="s">
        <v>74</v>
      </c>
      <c r="M117" t="s">
        <v>75</v>
      </c>
      <c r="N117" s="9">
        <f>SalesData[[#This Row],[Profit]]/SalesData[[#This Row],[Sales]]</f>
        <v>6.1802083333333334E-2</v>
      </c>
    </row>
    <row r="118" spans="1:14">
      <c r="A118" t="s">
        <v>268</v>
      </c>
      <c r="B118" s="6">
        <v>45684</v>
      </c>
      <c r="C118" t="s">
        <v>168</v>
      </c>
      <c r="D118" t="s">
        <v>52</v>
      </c>
      <c r="E118" t="s">
        <v>47</v>
      </c>
      <c r="F118" t="s">
        <v>48</v>
      </c>
      <c r="G118">
        <v>4</v>
      </c>
      <c r="H118" s="7">
        <v>52000</v>
      </c>
      <c r="I118" s="8">
        <v>0.15</v>
      </c>
      <c r="J118" s="7">
        <v>176800</v>
      </c>
      <c r="K118" s="7">
        <v>26870.55</v>
      </c>
      <c r="L118" t="s">
        <v>43</v>
      </c>
      <c r="M118" t="s">
        <v>44</v>
      </c>
      <c r="N118" s="9">
        <f>SalesData[[#This Row],[Profit]]/SalesData[[#This Row],[Sales]]</f>
        <v>0.15198274886877827</v>
      </c>
    </row>
    <row r="119" spans="1:14">
      <c r="A119" t="s">
        <v>269</v>
      </c>
      <c r="B119" s="6">
        <v>45889</v>
      </c>
      <c r="C119" t="s">
        <v>87</v>
      </c>
      <c r="D119" t="s">
        <v>71</v>
      </c>
      <c r="E119" t="s">
        <v>47</v>
      </c>
      <c r="F119" t="s">
        <v>88</v>
      </c>
      <c r="G119">
        <v>4</v>
      </c>
      <c r="H119" s="7">
        <v>1800</v>
      </c>
      <c r="I119" s="8">
        <v>0</v>
      </c>
      <c r="J119" s="7">
        <v>7200</v>
      </c>
      <c r="K119" s="7">
        <v>646.07000000000005</v>
      </c>
      <c r="L119" t="s">
        <v>57</v>
      </c>
      <c r="M119" t="s">
        <v>75</v>
      </c>
      <c r="N119" s="9">
        <f>SalesData[[#This Row],[Profit]]/SalesData[[#This Row],[Sales]]</f>
        <v>8.9731944444444448E-2</v>
      </c>
    </row>
    <row r="120" spans="1:14">
      <c r="A120" t="s">
        <v>270</v>
      </c>
      <c r="B120" s="6">
        <v>45876</v>
      </c>
      <c r="C120" t="s">
        <v>177</v>
      </c>
      <c r="D120" t="s">
        <v>52</v>
      </c>
      <c r="E120" t="s">
        <v>66</v>
      </c>
      <c r="F120" t="s">
        <v>135</v>
      </c>
      <c r="G120">
        <v>1</v>
      </c>
      <c r="H120" s="7">
        <v>900</v>
      </c>
      <c r="I120" s="8">
        <v>0.1</v>
      </c>
      <c r="J120" s="7">
        <v>810</v>
      </c>
      <c r="K120" s="7">
        <v>115.29</v>
      </c>
      <c r="L120" t="s">
        <v>49</v>
      </c>
      <c r="M120" t="s">
        <v>44</v>
      </c>
      <c r="N120" s="9">
        <f>SalesData[[#This Row],[Profit]]/SalesData[[#This Row],[Sales]]</f>
        <v>0.14233333333333334</v>
      </c>
    </row>
    <row r="121" spans="1:14">
      <c r="A121" t="s">
        <v>271</v>
      </c>
      <c r="B121" s="6">
        <v>45798</v>
      </c>
      <c r="C121" t="s">
        <v>73</v>
      </c>
      <c r="D121" t="s">
        <v>52</v>
      </c>
      <c r="E121" t="s">
        <v>41</v>
      </c>
      <c r="F121" t="s">
        <v>91</v>
      </c>
      <c r="G121">
        <v>5</v>
      </c>
      <c r="H121" s="7">
        <v>220</v>
      </c>
      <c r="I121" s="8">
        <v>0.2</v>
      </c>
      <c r="J121" s="7">
        <v>880</v>
      </c>
      <c r="K121" s="7">
        <v>69.37</v>
      </c>
      <c r="L121" t="s">
        <v>49</v>
      </c>
      <c r="M121" t="s">
        <v>44</v>
      </c>
      <c r="N121" s="9">
        <f>SalesData[[#This Row],[Profit]]/SalesData[[#This Row],[Sales]]</f>
        <v>7.8829545454545458E-2</v>
      </c>
    </row>
    <row r="122" spans="1:14">
      <c r="A122" t="s">
        <v>272</v>
      </c>
      <c r="B122" s="6">
        <v>45878</v>
      </c>
      <c r="C122" t="s">
        <v>184</v>
      </c>
      <c r="D122" t="s">
        <v>71</v>
      </c>
      <c r="E122" t="s">
        <v>66</v>
      </c>
      <c r="F122" t="s">
        <v>67</v>
      </c>
      <c r="G122">
        <v>4</v>
      </c>
      <c r="H122" s="7">
        <v>2200</v>
      </c>
      <c r="I122" s="8">
        <v>0.15</v>
      </c>
      <c r="J122" s="7">
        <v>7480</v>
      </c>
      <c r="K122" s="7">
        <v>703.56</v>
      </c>
      <c r="L122" t="s">
        <v>49</v>
      </c>
      <c r="M122" t="s">
        <v>75</v>
      </c>
      <c r="N122" s="9">
        <f>SalesData[[#This Row],[Profit]]/SalesData[[#This Row],[Sales]]</f>
        <v>9.4058823529411764E-2</v>
      </c>
    </row>
    <row r="123" spans="1:14">
      <c r="A123" t="s">
        <v>273</v>
      </c>
      <c r="B123" s="6">
        <v>45876</v>
      </c>
      <c r="C123" t="s">
        <v>117</v>
      </c>
      <c r="D123" t="s">
        <v>56</v>
      </c>
      <c r="E123" t="s">
        <v>41</v>
      </c>
      <c r="F123" t="s">
        <v>42</v>
      </c>
      <c r="G123">
        <v>6</v>
      </c>
      <c r="H123" s="7">
        <v>120</v>
      </c>
      <c r="I123" s="8">
        <v>0.15</v>
      </c>
      <c r="J123" s="7">
        <v>612</v>
      </c>
      <c r="K123" s="7">
        <v>23.4</v>
      </c>
      <c r="L123" t="s">
        <v>49</v>
      </c>
      <c r="M123" t="s">
        <v>44</v>
      </c>
      <c r="N123" s="9">
        <f>SalesData[[#This Row],[Profit]]/SalesData[[#This Row],[Sales]]</f>
        <v>3.8235294117647055E-2</v>
      </c>
    </row>
    <row r="124" spans="1:14">
      <c r="A124" t="s">
        <v>274</v>
      </c>
      <c r="B124" s="6">
        <v>45879</v>
      </c>
      <c r="C124" t="s">
        <v>275</v>
      </c>
      <c r="D124" t="s">
        <v>56</v>
      </c>
      <c r="E124" t="s">
        <v>53</v>
      </c>
      <c r="F124" t="s">
        <v>63</v>
      </c>
      <c r="G124">
        <v>5</v>
      </c>
      <c r="H124" s="7">
        <v>8500</v>
      </c>
      <c r="I124" s="8">
        <v>0.2</v>
      </c>
      <c r="J124" s="7">
        <v>34000</v>
      </c>
      <c r="K124" s="7">
        <v>3395.56</v>
      </c>
      <c r="L124" t="s">
        <v>49</v>
      </c>
      <c r="M124" t="s">
        <v>75</v>
      </c>
      <c r="N124" s="9">
        <f>SalesData[[#This Row],[Profit]]/SalesData[[#This Row],[Sales]]</f>
        <v>9.9869411764705887E-2</v>
      </c>
    </row>
    <row r="125" spans="1:14">
      <c r="A125" t="s">
        <v>276</v>
      </c>
      <c r="B125" s="6">
        <v>45839</v>
      </c>
      <c r="C125" t="s">
        <v>46</v>
      </c>
      <c r="D125" t="s">
        <v>40</v>
      </c>
      <c r="E125" t="s">
        <v>41</v>
      </c>
      <c r="F125" t="s">
        <v>85</v>
      </c>
      <c r="G125">
        <v>3</v>
      </c>
      <c r="H125" s="7">
        <v>1600</v>
      </c>
      <c r="I125" s="8">
        <v>0</v>
      </c>
      <c r="J125" s="7">
        <v>4800</v>
      </c>
      <c r="K125" s="7">
        <v>827.84</v>
      </c>
      <c r="L125" t="s">
        <v>74</v>
      </c>
      <c r="M125" t="s">
        <v>44</v>
      </c>
      <c r="N125" s="9">
        <f>SalesData[[#This Row],[Profit]]/SalesData[[#This Row],[Sales]]</f>
        <v>0.17246666666666668</v>
      </c>
    </row>
    <row r="126" spans="1:14">
      <c r="A126" t="s">
        <v>277</v>
      </c>
      <c r="B126" s="6">
        <v>45994</v>
      </c>
      <c r="C126" t="s">
        <v>251</v>
      </c>
      <c r="D126" t="s">
        <v>71</v>
      </c>
      <c r="E126" t="s">
        <v>47</v>
      </c>
      <c r="F126" t="s">
        <v>88</v>
      </c>
      <c r="G126">
        <v>5</v>
      </c>
      <c r="H126" s="7">
        <v>1800</v>
      </c>
      <c r="I126" s="8">
        <v>0.1</v>
      </c>
      <c r="J126" s="7">
        <v>8100</v>
      </c>
      <c r="K126" s="7">
        <v>513.39</v>
      </c>
      <c r="L126" t="s">
        <v>68</v>
      </c>
      <c r="M126" t="s">
        <v>44</v>
      </c>
      <c r="N126" s="9">
        <f>SalesData[[#This Row],[Profit]]/SalesData[[#This Row],[Sales]]</f>
        <v>6.3381481481481483E-2</v>
      </c>
    </row>
    <row r="127" spans="1:14">
      <c r="A127" t="s">
        <v>278</v>
      </c>
      <c r="B127" s="6">
        <v>45877</v>
      </c>
      <c r="C127" t="s">
        <v>267</v>
      </c>
      <c r="D127" t="s">
        <v>56</v>
      </c>
      <c r="E127" t="s">
        <v>47</v>
      </c>
      <c r="F127" t="s">
        <v>98</v>
      </c>
      <c r="G127">
        <v>3</v>
      </c>
      <c r="H127" s="7">
        <v>14500</v>
      </c>
      <c r="I127" s="8">
        <v>0.1</v>
      </c>
      <c r="J127" s="7">
        <v>39150</v>
      </c>
      <c r="K127" s="7">
        <v>7534.26</v>
      </c>
      <c r="L127" t="s">
        <v>68</v>
      </c>
      <c r="M127" t="s">
        <v>44</v>
      </c>
      <c r="N127" s="9">
        <f>SalesData[[#This Row],[Profit]]/SalesData[[#This Row],[Sales]]</f>
        <v>0.19244597701149427</v>
      </c>
    </row>
    <row r="128" spans="1:14">
      <c r="A128" t="s">
        <v>580</v>
      </c>
      <c r="B128" s="6">
        <v>45750</v>
      </c>
      <c r="C128" t="s">
        <v>242</v>
      </c>
      <c r="D128" t="s">
        <v>52</v>
      </c>
      <c r="E128" t="s">
        <v>47</v>
      </c>
      <c r="F128" t="s">
        <v>98</v>
      </c>
      <c r="G128">
        <v>6</v>
      </c>
      <c r="H128" s="7">
        <v>14500</v>
      </c>
      <c r="I128" s="8">
        <v>0</v>
      </c>
      <c r="J128" s="7">
        <v>87000</v>
      </c>
      <c r="K128" s="7">
        <v>8237.27</v>
      </c>
      <c r="L128" t="s">
        <v>43</v>
      </c>
      <c r="M128" t="s">
        <v>44</v>
      </c>
      <c r="N128" s="9">
        <f>SalesData[[#This Row],[Profit]]/SalesData[[#This Row],[Sales]]</f>
        <v>9.4681264367816098E-2</v>
      </c>
    </row>
    <row r="129" spans="1:14">
      <c r="A129" t="s">
        <v>279</v>
      </c>
      <c r="B129" s="6">
        <v>45850</v>
      </c>
      <c r="C129" t="s">
        <v>146</v>
      </c>
      <c r="D129" t="s">
        <v>52</v>
      </c>
      <c r="E129" t="s">
        <v>41</v>
      </c>
      <c r="F129" t="s">
        <v>42</v>
      </c>
      <c r="G129">
        <v>3</v>
      </c>
      <c r="H129" s="7">
        <v>120</v>
      </c>
      <c r="I129" s="8">
        <v>0.1</v>
      </c>
      <c r="J129" s="7">
        <v>324</v>
      </c>
      <c r="K129" s="7">
        <v>51.99</v>
      </c>
      <c r="L129" t="s">
        <v>43</v>
      </c>
      <c r="M129" t="s">
        <v>44</v>
      </c>
      <c r="N129" s="9">
        <f>SalesData[[#This Row],[Profit]]/SalesData[[#This Row],[Sales]]</f>
        <v>0.16046296296296297</v>
      </c>
    </row>
    <row r="130" spans="1:14">
      <c r="A130" t="s">
        <v>280</v>
      </c>
      <c r="B130" s="6">
        <v>45684</v>
      </c>
      <c r="C130" t="s">
        <v>258</v>
      </c>
      <c r="D130" t="s">
        <v>71</v>
      </c>
      <c r="E130" t="s">
        <v>47</v>
      </c>
      <c r="F130" t="s">
        <v>48</v>
      </c>
      <c r="G130">
        <v>3</v>
      </c>
      <c r="H130" s="7">
        <v>52000</v>
      </c>
      <c r="I130" s="8">
        <v>0.15</v>
      </c>
      <c r="J130" s="7">
        <v>132600</v>
      </c>
      <c r="K130" s="7">
        <v>17690.189999999999</v>
      </c>
      <c r="L130" t="s">
        <v>57</v>
      </c>
      <c r="M130" t="s">
        <v>75</v>
      </c>
      <c r="N130" s="9">
        <f>SalesData[[#This Row],[Profit]]/SalesData[[#This Row],[Sales]]</f>
        <v>0.13341018099547511</v>
      </c>
    </row>
    <row r="131" spans="1:14">
      <c r="A131" t="s">
        <v>281</v>
      </c>
      <c r="B131" s="6">
        <v>45870</v>
      </c>
      <c r="C131" t="s">
        <v>182</v>
      </c>
      <c r="D131" t="s">
        <v>71</v>
      </c>
      <c r="E131" t="s">
        <v>47</v>
      </c>
      <c r="F131" t="s">
        <v>88</v>
      </c>
      <c r="G131">
        <v>4</v>
      </c>
      <c r="H131" s="7">
        <v>1800</v>
      </c>
      <c r="I131" s="8">
        <v>0</v>
      </c>
      <c r="J131" s="7">
        <v>7200</v>
      </c>
      <c r="K131" s="7">
        <v>902.3</v>
      </c>
      <c r="L131" t="s">
        <v>43</v>
      </c>
      <c r="M131" t="s">
        <v>75</v>
      </c>
      <c r="N131" s="9">
        <f>SalesData[[#This Row],[Profit]]/SalesData[[#This Row],[Sales]]</f>
        <v>0.12531944444444443</v>
      </c>
    </row>
    <row r="132" spans="1:14">
      <c r="A132" t="s">
        <v>282</v>
      </c>
      <c r="B132" s="6">
        <v>45927</v>
      </c>
      <c r="C132" t="s">
        <v>283</v>
      </c>
      <c r="D132" t="s">
        <v>40</v>
      </c>
      <c r="E132" t="s">
        <v>53</v>
      </c>
      <c r="F132" t="s">
        <v>54</v>
      </c>
      <c r="G132">
        <v>5</v>
      </c>
      <c r="H132" s="7">
        <v>7800</v>
      </c>
      <c r="I132" s="8">
        <v>0</v>
      </c>
      <c r="J132" s="7">
        <v>39000</v>
      </c>
      <c r="K132" s="7">
        <v>3167.97</v>
      </c>
      <c r="L132" t="s">
        <v>68</v>
      </c>
      <c r="M132" t="s">
        <v>44</v>
      </c>
      <c r="N132" s="9">
        <f>SalesData[[#This Row],[Profit]]/SalesData[[#This Row],[Sales]]</f>
        <v>8.1229999999999997E-2</v>
      </c>
    </row>
    <row r="133" spans="1:14">
      <c r="A133" t="s">
        <v>284</v>
      </c>
      <c r="B133" s="6">
        <v>45728</v>
      </c>
      <c r="C133" t="s">
        <v>285</v>
      </c>
      <c r="D133" t="s">
        <v>56</v>
      </c>
      <c r="E133" t="s">
        <v>41</v>
      </c>
      <c r="F133" t="s">
        <v>121</v>
      </c>
      <c r="G133">
        <v>1</v>
      </c>
      <c r="H133" s="7">
        <v>450</v>
      </c>
      <c r="I133" s="8">
        <v>0.15</v>
      </c>
      <c r="J133" s="7">
        <v>382.5</v>
      </c>
      <c r="K133" s="7">
        <v>56.24</v>
      </c>
      <c r="L133" t="s">
        <v>74</v>
      </c>
      <c r="M133" t="s">
        <v>44</v>
      </c>
      <c r="N133" s="9">
        <f>SalesData[[#This Row],[Profit]]/SalesData[[#This Row],[Sales]]</f>
        <v>0.1470326797385621</v>
      </c>
    </row>
    <row r="134" spans="1:14">
      <c r="A134" t="s">
        <v>286</v>
      </c>
      <c r="B134" s="6">
        <v>45852</v>
      </c>
      <c r="C134" t="s">
        <v>287</v>
      </c>
      <c r="D134" t="s">
        <v>71</v>
      </c>
      <c r="E134" t="s">
        <v>41</v>
      </c>
      <c r="F134" t="s">
        <v>121</v>
      </c>
      <c r="G134">
        <v>4</v>
      </c>
      <c r="H134" s="7">
        <v>450</v>
      </c>
      <c r="I134" s="8">
        <v>0</v>
      </c>
      <c r="J134" s="7">
        <v>1800</v>
      </c>
      <c r="K134" s="7">
        <v>269.63</v>
      </c>
      <c r="L134" t="s">
        <v>57</v>
      </c>
      <c r="M134" t="s">
        <v>44</v>
      </c>
      <c r="N134" s="9">
        <f>SalesData[[#This Row],[Profit]]/SalesData[[#This Row],[Sales]]</f>
        <v>0.14979444444444445</v>
      </c>
    </row>
    <row r="135" spans="1:14">
      <c r="A135" t="s">
        <v>288</v>
      </c>
      <c r="B135" s="6">
        <v>45818</v>
      </c>
      <c r="C135" t="s">
        <v>80</v>
      </c>
      <c r="D135" t="s">
        <v>52</v>
      </c>
      <c r="E135" t="s">
        <v>66</v>
      </c>
      <c r="F135" t="s">
        <v>67</v>
      </c>
      <c r="G135">
        <v>1</v>
      </c>
      <c r="H135" s="7">
        <v>2200</v>
      </c>
      <c r="I135" s="8">
        <v>0.15</v>
      </c>
      <c r="J135" s="7">
        <v>1870</v>
      </c>
      <c r="K135" s="7">
        <v>57.67</v>
      </c>
      <c r="L135" t="s">
        <v>68</v>
      </c>
      <c r="M135" t="s">
        <v>44</v>
      </c>
      <c r="N135" s="9">
        <f>SalesData[[#This Row],[Profit]]/SalesData[[#This Row],[Sales]]</f>
        <v>3.0839572192513369E-2</v>
      </c>
    </row>
    <row r="136" spans="1:14">
      <c r="A136" t="s">
        <v>289</v>
      </c>
      <c r="B136" s="6">
        <v>45974</v>
      </c>
      <c r="C136" t="s">
        <v>290</v>
      </c>
      <c r="D136" t="s">
        <v>56</v>
      </c>
      <c r="E136" t="s">
        <v>47</v>
      </c>
      <c r="F136" t="s">
        <v>60</v>
      </c>
      <c r="G136">
        <v>1</v>
      </c>
      <c r="H136" s="7">
        <v>2500</v>
      </c>
      <c r="I136" s="8">
        <v>0.05</v>
      </c>
      <c r="J136" s="7">
        <v>2375</v>
      </c>
      <c r="K136" s="7">
        <v>313.99</v>
      </c>
      <c r="L136" t="s">
        <v>57</v>
      </c>
      <c r="M136" t="s">
        <v>44</v>
      </c>
      <c r="N136" s="9">
        <f>SalesData[[#This Row],[Profit]]/SalesData[[#This Row],[Sales]]</f>
        <v>0.1322063157894737</v>
      </c>
    </row>
    <row r="137" spans="1:14">
      <c r="A137" t="s">
        <v>291</v>
      </c>
      <c r="B137" s="6">
        <v>45860</v>
      </c>
      <c r="C137" t="s">
        <v>292</v>
      </c>
      <c r="D137" t="s">
        <v>56</v>
      </c>
      <c r="E137" t="s">
        <v>53</v>
      </c>
      <c r="F137" t="s">
        <v>119</v>
      </c>
      <c r="G137">
        <v>2</v>
      </c>
      <c r="H137" s="7">
        <v>6500</v>
      </c>
      <c r="I137" s="8">
        <v>0</v>
      </c>
      <c r="J137" s="7">
        <v>13000</v>
      </c>
      <c r="K137" s="7">
        <v>2101.81</v>
      </c>
      <c r="L137" t="s">
        <v>49</v>
      </c>
      <c r="M137" t="s">
        <v>44</v>
      </c>
      <c r="N137" s="9">
        <f>SalesData[[#This Row],[Profit]]/SalesData[[#This Row],[Sales]]</f>
        <v>0.1616776923076923</v>
      </c>
    </row>
    <row r="138" spans="1:14">
      <c r="A138" t="s">
        <v>293</v>
      </c>
      <c r="B138" s="6">
        <v>45836</v>
      </c>
      <c r="C138" t="s">
        <v>294</v>
      </c>
      <c r="D138" t="s">
        <v>71</v>
      </c>
      <c r="E138" t="s">
        <v>53</v>
      </c>
      <c r="F138" t="s">
        <v>63</v>
      </c>
      <c r="G138">
        <v>2</v>
      </c>
      <c r="H138" s="7">
        <v>8500</v>
      </c>
      <c r="I138" s="8">
        <v>0.1</v>
      </c>
      <c r="J138" s="7">
        <v>15300</v>
      </c>
      <c r="K138" s="7">
        <v>1171.42</v>
      </c>
      <c r="L138" t="s">
        <v>43</v>
      </c>
      <c r="M138" t="s">
        <v>44</v>
      </c>
      <c r="N138" s="9">
        <f>SalesData[[#This Row],[Profit]]/SalesData[[#This Row],[Sales]]</f>
        <v>7.6563398692810467E-2</v>
      </c>
    </row>
    <row r="139" spans="1:14">
      <c r="A139" t="s">
        <v>295</v>
      </c>
      <c r="B139" s="6">
        <v>45993</v>
      </c>
      <c r="C139" t="s">
        <v>296</v>
      </c>
      <c r="D139" t="s">
        <v>71</v>
      </c>
      <c r="E139" t="s">
        <v>66</v>
      </c>
      <c r="F139" t="s">
        <v>149</v>
      </c>
      <c r="G139">
        <v>5</v>
      </c>
      <c r="H139" s="7">
        <v>1800</v>
      </c>
      <c r="I139" s="8">
        <v>0.2</v>
      </c>
      <c r="J139" s="7">
        <v>7200</v>
      </c>
      <c r="K139" s="7">
        <v>589.14</v>
      </c>
      <c r="L139" t="s">
        <v>43</v>
      </c>
      <c r="M139" t="s">
        <v>75</v>
      </c>
      <c r="N139" s="9">
        <f>SalesData[[#This Row],[Profit]]/SalesData[[#This Row],[Sales]]</f>
        <v>8.1824999999999995E-2</v>
      </c>
    </row>
    <row r="140" spans="1:14">
      <c r="A140" t="s">
        <v>297</v>
      </c>
      <c r="B140" s="6">
        <v>45979</v>
      </c>
      <c r="C140" t="s">
        <v>117</v>
      </c>
      <c r="D140" t="s">
        <v>71</v>
      </c>
      <c r="E140" t="s">
        <v>66</v>
      </c>
      <c r="F140" t="s">
        <v>135</v>
      </c>
      <c r="G140">
        <v>4</v>
      </c>
      <c r="H140" s="7">
        <v>900</v>
      </c>
      <c r="I140" s="8">
        <v>0.15</v>
      </c>
      <c r="J140" s="7">
        <v>3060</v>
      </c>
      <c r="K140" s="7">
        <v>393.28</v>
      </c>
      <c r="L140" t="s">
        <v>68</v>
      </c>
      <c r="M140" t="s">
        <v>44</v>
      </c>
      <c r="N140" s="9">
        <f>SalesData[[#This Row],[Profit]]/SalesData[[#This Row],[Sales]]</f>
        <v>0.12852287581699345</v>
      </c>
    </row>
    <row r="141" spans="1:14">
      <c r="A141" t="s">
        <v>298</v>
      </c>
      <c r="B141" s="6">
        <v>45838</v>
      </c>
      <c r="C141" t="s">
        <v>157</v>
      </c>
      <c r="D141" t="s">
        <v>40</v>
      </c>
      <c r="E141" t="s">
        <v>41</v>
      </c>
      <c r="F141" t="s">
        <v>91</v>
      </c>
      <c r="G141">
        <v>4</v>
      </c>
      <c r="H141" s="7">
        <v>220</v>
      </c>
      <c r="I141" s="8">
        <v>0</v>
      </c>
      <c r="J141" s="7">
        <v>880</v>
      </c>
      <c r="K141" s="7">
        <v>78.41</v>
      </c>
      <c r="L141" t="s">
        <v>68</v>
      </c>
      <c r="M141" t="s">
        <v>44</v>
      </c>
      <c r="N141" s="9">
        <f>SalesData[[#This Row],[Profit]]/SalesData[[#This Row],[Sales]]</f>
        <v>8.9102272727272724E-2</v>
      </c>
    </row>
    <row r="142" spans="1:14">
      <c r="A142" t="s">
        <v>299</v>
      </c>
      <c r="B142" s="6">
        <v>45988</v>
      </c>
      <c r="C142" t="s">
        <v>300</v>
      </c>
      <c r="D142" t="s">
        <v>52</v>
      </c>
      <c r="E142" t="s">
        <v>66</v>
      </c>
      <c r="F142" t="s">
        <v>135</v>
      </c>
      <c r="G142">
        <v>4</v>
      </c>
      <c r="H142" s="7">
        <v>900</v>
      </c>
      <c r="I142" s="8">
        <v>0.2</v>
      </c>
      <c r="J142" s="7">
        <v>2880</v>
      </c>
      <c r="K142" s="7">
        <v>329.17</v>
      </c>
      <c r="L142" t="s">
        <v>68</v>
      </c>
      <c r="M142" t="s">
        <v>75</v>
      </c>
      <c r="N142" s="9">
        <f>SalesData[[#This Row],[Profit]]/SalesData[[#This Row],[Sales]]</f>
        <v>0.1142951388888889</v>
      </c>
    </row>
    <row r="143" spans="1:14">
      <c r="A143" t="s">
        <v>301</v>
      </c>
      <c r="B143" s="6">
        <v>45914</v>
      </c>
      <c r="C143" t="s">
        <v>129</v>
      </c>
      <c r="D143" t="s">
        <v>40</v>
      </c>
      <c r="E143" t="s">
        <v>66</v>
      </c>
      <c r="F143" t="s">
        <v>135</v>
      </c>
      <c r="G143">
        <v>3</v>
      </c>
      <c r="H143" s="7">
        <v>900</v>
      </c>
      <c r="I143" s="8">
        <v>0</v>
      </c>
      <c r="J143" s="7">
        <v>2700</v>
      </c>
      <c r="K143" s="7">
        <v>433.97</v>
      </c>
      <c r="L143" t="s">
        <v>74</v>
      </c>
      <c r="M143" t="s">
        <v>44</v>
      </c>
      <c r="N143" s="9">
        <f>SalesData[[#This Row],[Profit]]/SalesData[[#This Row],[Sales]]</f>
        <v>0.16072962962962964</v>
      </c>
    </row>
    <row r="144" spans="1:14">
      <c r="A144" t="s">
        <v>302</v>
      </c>
      <c r="B144" s="6">
        <v>45784</v>
      </c>
      <c r="C144" t="s">
        <v>303</v>
      </c>
      <c r="D144" t="s">
        <v>52</v>
      </c>
      <c r="E144" t="s">
        <v>53</v>
      </c>
      <c r="F144" t="s">
        <v>119</v>
      </c>
      <c r="G144">
        <v>3</v>
      </c>
      <c r="H144" s="7">
        <v>6500</v>
      </c>
      <c r="I144" s="8">
        <v>0.1</v>
      </c>
      <c r="J144" s="7">
        <v>17550</v>
      </c>
      <c r="K144" s="7">
        <v>1877.62</v>
      </c>
      <c r="L144" t="s">
        <v>68</v>
      </c>
      <c r="M144" t="s">
        <v>44</v>
      </c>
      <c r="N144" s="9">
        <f>SalesData[[#This Row],[Profit]]/SalesData[[#This Row],[Sales]]</f>
        <v>0.10698689458689459</v>
      </c>
    </row>
    <row r="145" spans="1:14">
      <c r="A145" t="s">
        <v>304</v>
      </c>
      <c r="B145" s="6">
        <v>45981</v>
      </c>
      <c r="C145" t="s">
        <v>263</v>
      </c>
      <c r="D145" t="s">
        <v>40</v>
      </c>
      <c r="E145" t="s">
        <v>41</v>
      </c>
      <c r="F145" t="s">
        <v>121</v>
      </c>
      <c r="G145">
        <v>5</v>
      </c>
      <c r="H145" s="7">
        <v>450</v>
      </c>
      <c r="I145" s="8">
        <v>0.15</v>
      </c>
      <c r="J145" s="7">
        <v>1912.5</v>
      </c>
      <c r="K145" s="7">
        <v>139.54</v>
      </c>
      <c r="L145" t="s">
        <v>43</v>
      </c>
      <c r="M145" t="s">
        <v>44</v>
      </c>
      <c r="N145" s="9">
        <f>SalesData[[#This Row],[Profit]]/SalesData[[#This Row],[Sales]]</f>
        <v>7.2962091503267976E-2</v>
      </c>
    </row>
    <row r="146" spans="1:14">
      <c r="A146" t="s">
        <v>305</v>
      </c>
      <c r="B146" s="6">
        <v>45828</v>
      </c>
      <c r="C146" t="s">
        <v>161</v>
      </c>
      <c r="D146" t="s">
        <v>71</v>
      </c>
      <c r="E146" t="s">
        <v>41</v>
      </c>
      <c r="F146" t="s">
        <v>85</v>
      </c>
      <c r="G146">
        <v>6</v>
      </c>
      <c r="H146" s="7">
        <v>1600</v>
      </c>
      <c r="I146" s="8">
        <v>0.15</v>
      </c>
      <c r="J146" s="7">
        <v>8160</v>
      </c>
      <c r="K146" s="7">
        <v>392.76</v>
      </c>
      <c r="L146" t="s">
        <v>49</v>
      </c>
      <c r="M146" t="s">
        <v>75</v>
      </c>
      <c r="N146" s="9">
        <f>SalesData[[#This Row],[Profit]]/SalesData[[#This Row],[Sales]]</f>
        <v>4.8132352941176466E-2</v>
      </c>
    </row>
    <row r="147" spans="1:14">
      <c r="A147" t="s">
        <v>306</v>
      </c>
      <c r="B147" s="6">
        <v>45944</v>
      </c>
      <c r="C147" t="s">
        <v>307</v>
      </c>
      <c r="D147" t="s">
        <v>56</v>
      </c>
      <c r="E147" t="s">
        <v>53</v>
      </c>
      <c r="F147" t="s">
        <v>63</v>
      </c>
      <c r="G147">
        <v>6</v>
      </c>
      <c r="H147" s="7">
        <v>8500</v>
      </c>
      <c r="I147" s="8">
        <v>0.15</v>
      </c>
      <c r="J147" s="7">
        <v>43350</v>
      </c>
      <c r="K147" s="7">
        <v>4719</v>
      </c>
      <c r="L147" t="s">
        <v>49</v>
      </c>
      <c r="M147" t="s">
        <v>75</v>
      </c>
      <c r="N147" s="9">
        <f>SalesData[[#This Row],[Profit]]/SalesData[[#This Row],[Sales]]</f>
        <v>0.10885813148788927</v>
      </c>
    </row>
    <row r="148" spans="1:14">
      <c r="A148" t="s">
        <v>308</v>
      </c>
      <c r="B148" s="6">
        <v>45816</v>
      </c>
      <c r="C148" t="s">
        <v>240</v>
      </c>
      <c r="D148" t="s">
        <v>71</v>
      </c>
      <c r="E148" t="s">
        <v>41</v>
      </c>
      <c r="F148" t="s">
        <v>91</v>
      </c>
      <c r="G148">
        <v>2</v>
      </c>
      <c r="H148" s="7">
        <v>220</v>
      </c>
      <c r="I148" s="8">
        <v>0.05</v>
      </c>
      <c r="J148" s="7">
        <v>418</v>
      </c>
      <c r="K148" s="7">
        <v>93</v>
      </c>
      <c r="L148" t="s">
        <v>74</v>
      </c>
      <c r="M148" t="s">
        <v>44</v>
      </c>
      <c r="N148" s="9">
        <f>SalesData[[#This Row],[Profit]]/SalesData[[#This Row],[Sales]]</f>
        <v>0.22248803827751196</v>
      </c>
    </row>
    <row r="149" spans="1:14">
      <c r="A149" t="s">
        <v>309</v>
      </c>
      <c r="B149" s="6">
        <v>45809</v>
      </c>
      <c r="C149" t="s">
        <v>106</v>
      </c>
      <c r="D149" t="s">
        <v>40</v>
      </c>
      <c r="E149" t="s">
        <v>41</v>
      </c>
      <c r="F149" t="s">
        <v>42</v>
      </c>
      <c r="G149">
        <v>5</v>
      </c>
      <c r="H149" s="7">
        <v>120</v>
      </c>
      <c r="I149" s="8">
        <v>0.15</v>
      </c>
      <c r="J149" s="7">
        <v>510</v>
      </c>
      <c r="K149" s="7">
        <v>26.61</v>
      </c>
      <c r="L149" t="s">
        <v>74</v>
      </c>
      <c r="M149" t="s">
        <v>44</v>
      </c>
      <c r="N149" s="9">
        <f>SalesData[[#This Row],[Profit]]/SalesData[[#This Row],[Sales]]</f>
        <v>5.2176470588235296E-2</v>
      </c>
    </row>
    <row r="150" spans="1:14">
      <c r="A150" t="s">
        <v>311</v>
      </c>
      <c r="B150" s="6">
        <v>45882</v>
      </c>
      <c r="C150" t="s">
        <v>142</v>
      </c>
      <c r="D150" t="s">
        <v>52</v>
      </c>
      <c r="E150" t="s">
        <v>41</v>
      </c>
      <c r="F150" t="s">
        <v>42</v>
      </c>
      <c r="G150">
        <v>4</v>
      </c>
      <c r="H150" s="7">
        <v>120</v>
      </c>
      <c r="I150" s="8">
        <v>0.2</v>
      </c>
      <c r="J150" s="7">
        <v>384</v>
      </c>
      <c r="K150" s="7">
        <v>21.35</v>
      </c>
      <c r="L150" t="s">
        <v>57</v>
      </c>
      <c r="M150" t="s">
        <v>44</v>
      </c>
      <c r="N150" s="9">
        <f>SalesData[[#This Row],[Profit]]/SalesData[[#This Row],[Sales]]</f>
        <v>5.5598958333333337E-2</v>
      </c>
    </row>
    <row r="151" spans="1:14">
      <c r="A151" t="s">
        <v>312</v>
      </c>
      <c r="B151" s="6">
        <v>45931</v>
      </c>
      <c r="C151" t="s">
        <v>93</v>
      </c>
      <c r="D151" t="s">
        <v>56</v>
      </c>
      <c r="E151" t="s">
        <v>66</v>
      </c>
      <c r="F151" t="s">
        <v>78</v>
      </c>
      <c r="G151">
        <v>3</v>
      </c>
      <c r="H151" s="7">
        <v>700</v>
      </c>
      <c r="I151" s="8">
        <v>0.2</v>
      </c>
      <c r="J151" s="7">
        <v>1680</v>
      </c>
      <c r="K151" s="7">
        <v>281.42</v>
      </c>
      <c r="L151" t="s">
        <v>57</v>
      </c>
      <c r="M151" t="s">
        <v>75</v>
      </c>
      <c r="N151" s="9">
        <f>SalesData[[#This Row],[Profit]]/SalesData[[#This Row],[Sales]]</f>
        <v>0.16751190476190478</v>
      </c>
    </row>
    <row r="152" spans="1:14">
      <c r="A152" t="s">
        <v>313</v>
      </c>
      <c r="B152" s="6">
        <v>45853</v>
      </c>
      <c r="C152" t="s">
        <v>87</v>
      </c>
      <c r="D152" t="s">
        <v>52</v>
      </c>
      <c r="E152" t="s">
        <v>53</v>
      </c>
      <c r="F152" t="s">
        <v>162</v>
      </c>
      <c r="G152">
        <v>5</v>
      </c>
      <c r="H152" s="7">
        <v>12000</v>
      </c>
      <c r="I152" s="8">
        <v>0.05</v>
      </c>
      <c r="J152" s="7">
        <v>57000</v>
      </c>
      <c r="K152" s="7">
        <v>11524.28</v>
      </c>
      <c r="L152" t="s">
        <v>49</v>
      </c>
      <c r="M152" t="s">
        <v>75</v>
      </c>
      <c r="N152" s="9">
        <f>SalesData[[#This Row],[Profit]]/SalesData[[#This Row],[Sales]]</f>
        <v>0.20218035087719299</v>
      </c>
    </row>
    <row r="153" spans="1:14">
      <c r="A153" t="s">
        <v>314</v>
      </c>
      <c r="B153" s="6">
        <v>45848</v>
      </c>
      <c r="C153" t="s">
        <v>315</v>
      </c>
      <c r="D153" t="s">
        <v>40</v>
      </c>
      <c r="E153" t="s">
        <v>41</v>
      </c>
      <c r="F153" t="s">
        <v>121</v>
      </c>
      <c r="G153">
        <v>2</v>
      </c>
      <c r="H153" s="7">
        <v>450</v>
      </c>
      <c r="I153" s="8">
        <v>0.1</v>
      </c>
      <c r="J153" s="7">
        <v>810</v>
      </c>
      <c r="K153" s="7">
        <v>94.68</v>
      </c>
      <c r="L153" t="s">
        <v>43</v>
      </c>
      <c r="M153" t="s">
        <v>44</v>
      </c>
      <c r="N153" s="9">
        <f>SalesData[[#This Row],[Profit]]/SalesData[[#This Row],[Sales]]</f>
        <v>0.1168888888888889</v>
      </c>
    </row>
    <row r="154" spans="1:14">
      <c r="A154" t="s">
        <v>316</v>
      </c>
      <c r="B154" s="6">
        <v>45881</v>
      </c>
      <c r="C154" t="s">
        <v>300</v>
      </c>
      <c r="D154" t="s">
        <v>71</v>
      </c>
      <c r="E154" t="s">
        <v>66</v>
      </c>
      <c r="F154" t="s">
        <v>67</v>
      </c>
      <c r="G154">
        <v>1</v>
      </c>
      <c r="H154" s="7">
        <v>2200</v>
      </c>
      <c r="I154" s="8">
        <v>0.15</v>
      </c>
      <c r="J154" s="7">
        <v>1870</v>
      </c>
      <c r="K154" s="7">
        <v>67.36</v>
      </c>
      <c r="L154" t="s">
        <v>43</v>
      </c>
      <c r="M154" t="s">
        <v>75</v>
      </c>
      <c r="N154" s="9">
        <f>SalesData[[#This Row],[Profit]]/SalesData[[#This Row],[Sales]]</f>
        <v>3.6021390374331552E-2</v>
      </c>
    </row>
    <row r="155" spans="1:14">
      <c r="A155" t="s">
        <v>317</v>
      </c>
      <c r="B155" s="6">
        <v>45778</v>
      </c>
      <c r="C155" t="s">
        <v>154</v>
      </c>
      <c r="D155" t="s">
        <v>40</v>
      </c>
      <c r="E155" t="s">
        <v>41</v>
      </c>
      <c r="F155" t="s">
        <v>42</v>
      </c>
      <c r="G155">
        <v>1</v>
      </c>
      <c r="H155" s="7">
        <v>120</v>
      </c>
      <c r="I155" s="8">
        <v>0.1</v>
      </c>
      <c r="J155" s="7">
        <v>108</v>
      </c>
      <c r="K155" s="7">
        <v>20.94</v>
      </c>
      <c r="L155" t="s">
        <v>68</v>
      </c>
      <c r="M155" t="s">
        <v>44</v>
      </c>
      <c r="N155" s="9">
        <f>SalesData[[#This Row],[Profit]]/SalesData[[#This Row],[Sales]]</f>
        <v>0.19388888888888889</v>
      </c>
    </row>
    <row r="156" spans="1:14">
      <c r="A156" t="s">
        <v>318</v>
      </c>
      <c r="B156" s="6">
        <v>45728</v>
      </c>
      <c r="C156" t="s">
        <v>319</v>
      </c>
      <c r="D156" t="s">
        <v>56</v>
      </c>
      <c r="E156" t="s">
        <v>66</v>
      </c>
      <c r="F156" t="s">
        <v>78</v>
      </c>
      <c r="G156">
        <v>6</v>
      </c>
      <c r="H156" s="7">
        <v>700</v>
      </c>
      <c r="I156" s="8">
        <v>0.15</v>
      </c>
      <c r="J156" s="7">
        <v>3570</v>
      </c>
      <c r="K156" s="7">
        <v>354.42</v>
      </c>
      <c r="L156" t="s">
        <v>49</v>
      </c>
      <c r="M156" t="s">
        <v>44</v>
      </c>
      <c r="N156" s="9">
        <f>SalesData[[#This Row],[Profit]]/SalesData[[#This Row],[Sales]]</f>
        <v>9.9277310924369755E-2</v>
      </c>
    </row>
    <row r="157" spans="1:14">
      <c r="A157" t="s">
        <v>320</v>
      </c>
      <c r="B157" s="6">
        <v>45667</v>
      </c>
      <c r="C157" t="s">
        <v>285</v>
      </c>
      <c r="D157" t="s">
        <v>71</v>
      </c>
      <c r="E157" t="s">
        <v>53</v>
      </c>
      <c r="F157" t="s">
        <v>54</v>
      </c>
      <c r="G157">
        <v>1</v>
      </c>
      <c r="H157" s="7">
        <v>7800</v>
      </c>
      <c r="I157" s="8">
        <v>0.1</v>
      </c>
      <c r="J157" s="7">
        <v>7020</v>
      </c>
      <c r="K157" s="7">
        <v>582.82000000000005</v>
      </c>
      <c r="L157" t="s">
        <v>49</v>
      </c>
      <c r="M157" t="s">
        <v>44</v>
      </c>
      <c r="N157" s="9">
        <f>SalesData[[#This Row],[Profit]]/SalesData[[#This Row],[Sales]]</f>
        <v>8.302279202279203E-2</v>
      </c>
    </row>
    <row r="158" spans="1:14">
      <c r="A158" t="s">
        <v>321</v>
      </c>
      <c r="B158" s="6">
        <v>45780</v>
      </c>
      <c r="C158" t="s">
        <v>146</v>
      </c>
      <c r="D158" t="s">
        <v>52</v>
      </c>
      <c r="E158" t="s">
        <v>47</v>
      </c>
      <c r="F158" t="s">
        <v>48</v>
      </c>
      <c r="G158">
        <v>4</v>
      </c>
      <c r="H158" s="7">
        <v>52000</v>
      </c>
      <c r="I158" s="8">
        <v>0.2</v>
      </c>
      <c r="J158" s="7">
        <v>166400</v>
      </c>
      <c r="K158" s="7">
        <v>15935.9</v>
      </c>
      <c r="L158" t="s">
        <v>43</v>
      </c>
      <c r="M158" t="s">
        <v>44</v>
      </c>
      <c r="N158" s="9">
        <f>SalesData[[#This Row],[Profit]]/SalesData[[#This Row],[Sales]]</f>
        <v>9.576862980769231E-2</v>
      </c>
    </row>
    <row r="159" spans="1:14">
      <c r="A159" t="s">
        <v>322</v>
      </c>
      <c r="B159" s="6">
        <v>45731</v>
      </c>
      <c r="C159" t="s">
        <v>323</v>
      </c>
      <c r="D159" t="s">
        <v>52</v>
      </c>
      <c r="E159" t="s">
        <v>47</v>
      </c>
      <c r="F159" t="s">
        <v>88</v>
      </c>
      <c r="G159">
        <v>2</v>
      </c>
      <c r="H159" s="7">
        <v>1800</v>
      </c>
      <c r="I159" s="8">
        <v>0.2</v>
      </c>
      <c r="J159" s="7">
        <v>2880</v>
      </c>
      <c r="K159" s="7">
        <v>220.75</v>
      </c>
      <c r="L159" t="s">
        <v>49</v>
      </c>
      <c r="M159" t="s">
        <v>75</v>
      </c>
      <c r="N159" s="9">
        <f>SalesData[[#This Row],[Profit]]/SalesData[[#This Row],[Sales]]</f>
        <v>7.6649305555555561E-2</v>
      </c>
    </row>
    <row r="160" spans="1:14">
      <c r="A160" t="s">
        <v>324</v>
      </c>
      <c r="B160" s="6">
        <v>45692</v>
      </c>
      <c r="C160" t="s">
        <v>233</v>
      </c>
      <c r="D160" t="s">
        <v>40</v>
      </c>
      <c r="E160" t="s">
        <v>66</v>
      </c>
      <c r="F160" t="s">
        <v>149</v>
      </c>
      <c r="G160">
        <v>1</v>
      </c>
      <c r="H160" s="7">
        <v>1800</v>
      </c>
      <c r="I160" s="8">
        <v>0.15</v>
      </c>
      <c r="J160" s="7">
        <v>1530</v>
      </c>
      <c r="K160" s="7">
        <v>282.23</v>
      </c>
      <c r="L160" t="s">
        <v>68</v>
      </c>
      <c r="M160" t="s">
        <v>44</v>
      </c>
      <c r="N160" s="9">
        <f>SalesData[[#This Row],[Profit]]/SalesData[[#This Row],[Sales]]</f>
        <v>0.1844640522875817</v>
      </c>
    </row>
    <row r="161" spans="1:14">
      <c r="A161" t="s">
        <v>325</v>
      </c>
      <c r="B161" s="6">
        <v>45840</v>
      </c>
      <c r="C161" t="s">
        <v>174</v>
      </c>
      <c r="D161" t="s">
        <v>56</v>
      </c>
      <c r="E161" t="s">
        <v>53</v>
      </c>
      <c r="F161" t="s">
        <v>63</v>
      </c>
      <c r="G161">
        <v>5</v>
      </c>
      <c r="H161" s="7">
        <v>8500</v>
      </c>
      <c r="I161" s="8">
        <v>0.1</v>
      </c>
      <c r="J161" s="7">
        <v>38250</v>
      </c>
      <c r="K161" s="7">
        <v>2537.7199999999998</v>
      </c>
      <c r="L161" t="s">
        <v>68</v>
      </c>
      <c r="M161" t="s">
        <v>75</v>
      </c>
      <c r="N161" s="9">
        <f>SalesData[[#This Row],[Profit]]/SalesData[[#This Row],[Sales]]</f>
        <v>6.6345620915032669E-2</v>
      </c>
    </row>
    <row r="162" spans="1:14">
      <c r="A162" t="s">
        <v>326</v>
      </c>
      <c r="B162" s="6">
        <v>45987</v>
      </c>
      <c r="C162" t="s">
        <v>327</v>
      </c>
      <c r="D162" t="s">
        <v>52</v>
      </c>
      <c r="E162" t="s">
        <v>66</v>
      </c>
      <c r="F162" t="s">
        <v>78</v>
      </c>
      <c r="G162">
        <v>2</v>
      </c>
      <c r="H162" s="7">
        <v>700</v>
      </c>
      <c r="I162" s="8">
        <v>0</v>
      </c>
      <c r="J162" s="7">
        <v>1400</v>
      </c>
      <c r="K162" s="7">
        <v>272.39</v>
      </c>
      <c r="L162" t="s">
        <v>57</v>
      </c>
      <c r="M162" t="s">
        <v>44</v>
      </c>
      <c r="N162" s="9">
        <f>SalesData[[#This Row],[Profit]]/SalesData[[#This Row],[Sales]]</f>
        <v>0.19456428571428572</v>
      </c>
    </row>
    <row r="163" spans="1:14">
      <c r="A163" t="s">
        <v>328</v>
      </c>
      <c r="B163" s="6">
        <v>45808</v>
      </c>
      <c r="C163" t="s">
        <v>329</v>
      </c>
      <c r="D163" t="s">
        <v>40</v>
      </c>
      <c r="E163" t="s">
        <v>53</v>
      </c>
      <c r="F163" t="s">
        <v>63</v>
      </c>
      <c r="G163">
        <v>3</v>
      </c>
      <c r="H163" s="7">
        <v>8500</v>
      </c>
      <c r="I163" s="8">
        <v>0.1</v>
      </c>
      <c r="J163" s="7">
        <v>22950</v>
      </c>
      <c r="K163" s="7">
        <v>2925.24</v>
      </c>
      <c r="L163" t="s">
        <v>43</v>
      </c>
      <c r="M163" t="s">
        <v>75</v>
      </c>
      <c r="N163" s="9">
        <f>SalesData[[#This Row],[Profit]]/SalesData[[#This Row],[Sales]]</f>
        <v>0.12746143790849673</v>
      </c>
    </row>
    <row r="164" spans="1:14">
      <c r="A164" t="s">
        <v>330</v>
      </c>
      <c r="B164" s="6">
        <v>45787</v>
      </c>
      <c r="C164" t="s">
        <v>319</v>
      </c>
      <c r="D164" t="s">
        <v>71</v>
      </c>
      <c r="E164" t="s">
        <v>41</v>
      </c>
      <c r="F164" t="s">
        <v>85</v>
      </c>
      <c r="G164">
        <v>1</v>
      </c>
      <c r="H164" s="7">
        <v>1600</v>
      </c>
      <c r="I164" s="8">
        <v>0.1</v>
      </c>
      <c r="J164" s="7">
        <v>1440</v>
      </c>
      <c r="K164" s="7">
        <v>127.75</v>
      </c>
      <c r="L164" t="s">
        <v>68</v>
      </c>
      <c r="M164" t="s">
        <v>75</v>
      </c>
      <c r="N164" s="9">
        <f>SalesData[[#This Row],[Profit]]/SalesData[[#This Row],[Sales]]</f>
        <v>8.8715277777777782E-2</v>
      </c>
    </row>
    <row r="165" spans="1:14">
      <c r="A165" t="s">
        <v>331</v>
      </c>
      <c r="B165" s="6">
        <v>45862</v>
      </c>
      <c r="C165" t="s">
        <v>303</v>
      </c>
      <c r="D165" t="s">
        <v>52</v>
      </c>
      <c r="E165" t="s">
        <v>41</v>
      </c>
      <c r="F165" t="s">
        <v>42</v>
      </c>
      <c r="G165">
        <v>4</v>
      </c>
      <c r="H165" s="7">
        <v>120</v>
      </c>
      <c r="I165" s="8">
        <v>0.15</v>
      </c>
      <c r="J165" s="7">
        <v>408</v>
      </c>
      <c r="K165" s="7">
        <v>35.200000000000003</v>
      </c>
      <c r="L165" t="s">
        <v>43</v>
      </c>
      <c r="M165" t="s">
        <v>75</v>
      </c>
      <c r="N165" s="9">
        <f>SalesData[[#This Row],[Profit]]/SalesData[[#This Row],[Sales]]</f>
        <v>8.6274509803921581E-2</v>
      </c>
    </row>
    <row r="166" spans="1:14">
      <c r="A166" t="s">
        <v>332</v>
      </c>
      <c r="B166" s="6">
        <v>45700</v>
      </c>
      <c r="C166" t="s">
        <v>46</v>
      </c>
      <c r="D166" t="s">
        <v>40</v>
      </c>
      <c r="E166" t="s">
        <v>66</v>
      </c>
      <c r="F166" t="s">
        <v>78</v>
      </c>
      <c r="G166">
        <v>5</v>
      </c>
      <c r="H166" s="7">
        <v>700</v>
      </c>
      <c r="I166" s="8">
        <v>0.1</v>
      </c>
      <c r="J166" s="7">
        <v>3150</v>
      </c>
      <c r="K166" s="7">
        <v>303.64</v>
      </c>
      <c r="L166" t="s">
        <v>49</v>
      </c>
      <c r="M166" t="s">
        <v>75</v>
      </c>
      <c r="N166" s="9">
        <f>SalesData[[#This Row],[Profit]]/SalesData[[#This Row],[Sales]]</f>
        <v>9.6393650793650795E-2</v>
      </c>
    </row>
    <row r="167" spans="1:14">
      <c r="A167" t="s">
        <v>333</v>
      </c>
      <c r="B167" s="6">
        <v>45996</v>
      </c>
      <c r="C167" t="s">
        <v>62</v>
      </c>
      <c r="D167" t="s">
        <v>56</v>
      </c>
      <c r="E167" t="s">
        <v>66</v>
      </c>
      <c r="F167" t="s">
        <v>149</v>
      </c>
      <c r="G167">
        <v>2</v>
      </c>
      <c r="H167" s="7">
        <v>1800</v>
      </c>
      <c r="I167" s="8">
        <v>0.15</v>
      </c>
      <c r="J167" s="7">
        <v>3060</v>
      </c>
      <c r="K167" s="7">
        <v>256.27</v>
      </c>
      <c r="L167" t="s">
        <v>49</v>
      </c>
      <c r="M167" t="s">
        <v>75</v>
      </c>
      <c r="N167" s="9">
        <f>SalesData[[#This Row],[Profit]]/SalesData[[#This Row],[Sales]]</f>
        <v>8.3748366013071895E-2</v>
      </c>
    </row>
    <row r="168" spans="1:14">
      <c r="A168" t="s">
        <v>334</v>
      </c>
      <c r="B168" s="6">
        <v>45972</v>
      </c>
      <c r="C168" t="s">
        <v>335</v>
      </c>
      <c r="D168" t="s">
        <v>56</v>
      </c>
      <c r="E168" t="s">
        <v>47</v>
      </c>
      <c r="F168" t="s">
        <v>48</v>
      </c>
      <c r="G168">
        <v>6</v>
      </c>
      <c r="H168" s="7">
        <v>52000</v>
      </c>
      <c r="I168" s="8">
        <v>0.15</v>
      </c>
      <c r="J168" s="7">
        <v>265200</v>
      </c>
      <c r="K168" s="7">
        <v>22709.02</v>
      </c>
      <c r="L168" t="s">
        <v>74</v>
      </c>
      <c r="M168" t="s">
        <v>44</v>
      </c>
      <c r="N168" s="9">
        <f>SalesData[[#This Row],[Profit]]/SalesData[[#This Row],[Sales]]</f>
        <v>8.5629788838612372E-2</v>
      </c>
    </row>
    <row r="169" spans="1:14">
      <c r="A169" t="s">
        <v>336</v>
      </c>
      <c r="B169" s="6">
        <v>45731</v>
      </c>
      <c r="C169" t="s">
        <v>303</v>
      </c>
      <c r="D169" t="s">
        <v>40</v>
      </c>
      <c r="E169" t="s">
        <v>53</v>
      </c>
      <c r="F169" t="s">
        <v>63</v>
      </c>
      <c r="G169">
        <v>2</v>
      </c>
      <c r="H169" s="7">
        <v>8500</v>
      </c>
      <c r="I169" s="8">
        <v>0.1</v>
      </c>
      <c r="J169" s="7">
        <v>15300</v>
      </c>
      <c r="K169" s="7">
        <v>1575.04</v>
      </c>
      <c r="L169" t="s">
        <v>43</v>
      </c>
      <c r="M169" t="s">
        <v>44</v>
      </c>
      <c r="N169" s="9">
        <f>SalesData[[#This Row],[Profit]]/SalesData[[#This Row],[Sales]]</f>
        <v>0.1029437908496732</v>
      </c>
    </row>
    <row r="170" spans="1:14">
      <c r="A170" t="s">
        <v>337</v>
      </c>
      <c r="B170" s="6">
        <v>45967</v>
      </c>
      <c r="C170" t="s">
        <v>258</v>
      </c>
      <c r="D170" t="s">
        <v>52</v>
      </c>
      <c r="E170" t="s">
        <v>41</v>
      </c>
      <c r="F170" t="s">
        <v>85</v>
      </c>
      <c r="G170">
        <v>4</v>
      </c>
      <c r="H170" s="7">
        <v>1600</v>
      </c>
      <c r="I170" s="8">
        <v>0</v>
      </c>
      <c r="J170" s="7">
        <v>6400</v>
      </c>
      <c r="K170" s="7">
        <v>1099.7</v>
      </c>
      <c r="L170" t="s">
        <v>43</v>
      </c>
      <c r="M170" t="s">
        <v>75</v>
      </c>
      <c r="N170" s="9">
        <f>SalesData[[#This Row],[Profit]]/SalesData[[#This Row],[Sales]]</f>
        <v>0.171828125</v>
      </c>
    </row>
    <row r="171" spans="1:14">
      <c r="A171" t="s">
        <v>338</v>
      </c>
      <c r="B171" s="6">
        <v>45861</v>
      </c>
      <c r="C171" t="s">
        <v>117</v>
      </c>
      <c r="D171" t="s">
        <v>56</v>
      </c>
      <c r="E171" t="s">
        <v>53</v>
      </c>
      <c r="F171" t="s">
        <v>63</v>
      </c>
      <c r="G171">
        <v>1</v>
      </c>
      <c r="H171" s="7">
        <v>8500</v>
      </c>
      <c r="I171" s="8">
        <v>0.05</v>
      </c>
      <c r="J171" s="7">
        <v>8075</v>
      </c>
      <c r="K171" s="7">
        <v>1149.45</v>
      </c>
      <c r="L171" t="s">
        <v>57</v>
      </c>
      <c r="M171" t="s">
        <v>44</v>
      </c>
      <c r="N171" s="9">
        <f>SalesData[[#This Row],[Profit]]/SalesData[[#This Row],[Sales]]</f>
        <v>0.14234674922600621</v>
      </c>
    </row>
    <row r="172" spans="1:14">
      <c r="A172" t="s">
        <v>339</v>
      </c>
      <c r="B172" s="6">
        <v>45792</v>
      </c>
      <c r="C172" t="s">
        <v>170</v>
      </c>
      <c r="D172" t="s">
        <v>52</v>
      </c>
      <c r="E172" t="s">
        <v>53</v>
      </c>
      <c r="F172" t="s">
        <v>119</v>
      </c>
      <c r="G172">
        <v>6</v>
      </c>
      <c r="H172" s="7">
        <v>6500</v>
      </c>
      <c r="I172" s="8">
        <v>0.15</v>
      </c>
      <c r="J172" s="7">
        <v>33150</v>
      </c>
      <c r="K172" s="7">
        <v>1973.37</v>
      </c>
      <c r="L172" t="s">
        <v>74</v>
      </c>
      <c r="M172" t="s">
        <v>44</v>
      </c>
      <c r="N172" s="9">
        <f>SalesData[[#This Row],[Profit]]/SalesData[[#This Row],[Sales]]</f>
        <v>5.9528506787330314E-2</v>
      </c>
    </row>
    <row r="173" spans="1:14">
      <c r="A173" t="s">
        <v>340</v>
      </c>
      <c r="B173" s="6">
        <v>45889</v>
      </c>
      <c r="C173" t="s">
        <v>327</v>
      </c>
      <c r="D173" t="s">
        <v>52</v>
      </c>
      <c r="E173" t="s">
        <v>47</v>
      </c>
      <c r="F173" t="s">
        <v>88</v>
      </c>
      <c r="G173">
        <v>6</v>
      </c>
      <c r="H173" s="7">
        <v>1800</v>
      </c>
      <c r="I173" s="8">
        <v>0.1</v>
      </c>
      <c r="J173" s="7">
        <v>9720</v>
      </c>
      <c r="K173" s="7">
        <v>1540.88</v>
      </c>
      <c r="L173" t="s">
        <v>43</v>
      </c>
      <c r="M173" t="s">
        <v>75</v>
      </c>
      <c r="N173" s="9">
        <f>SalesData[[#This Row],[Profit]]/SalesData[[#This Row],[Sales]]</f>
        <v>0.15852674897119343</v>
      </c>
    </row>
    <row r="174" spans="1:14">
      <c r="A174" t="s">
        <v>341</v>
      </c>
      <c r="B174" s="6">
        <v>45811</v>
      </c>
      <c r="C174" t="s">
        <v>82</v>
      </c>
      <c r="D174" t="s">
        <v>71</v>
      </c>
      <c r="E174" t="s">
        <v>41</v>
      </c>
      <c r="F174" t="s">
        <v>42</v>
      </c>
      <c r="G174">
        <v>1</v>
      </c>
      <c r="H174" s="7">
        <v>120</v>
      </c>
      <c r="I174" s="8">
        <v>0.05</v>
      </c>
      <c r="J174" s="7">
        <v>114</v>
      </c>
      <c r="K174" s="7">
        <v>21.57</v>
      </c>
      <c r="L174" t="s">
        <v>74</v>
      </c>
      <c r="M174" t="s">
        <v>75</v>
      </c>
      <c r="N174" s="9">
        <f>SalesData[[#This Row],[Profit]]/SalesData[[#This Row],[Sales]]</f>
        <v>0.18921052631578947</v>
      </c>
    </row>
    <row r="175" spans="1:14">
      <c r="A175" t="s">
        <v>342</v>
      </c>
      <c r="B175" s="6">
        <v>45671</v>
      </c>
      <c r="C175" t="s">
        <v>343</v>
      </c>
      <c r="D175" t="s">
        <v>56</v>
      </c>
      <c r="E175" t="s">
        <v>66</v>
      </c>
      <c r="F175" t="s">
        <v>78</v>
      </c>
      <c r="G175">
        <v>5</v>
      </c>
      <c r="H175" s="7">
        <v>700</v>
      </c>
      <c r="I175" s="8">
        <v>0</v>
      </c>
      <c r="J175" s="7">
        <v>3500</v>
      </c>
      <c r="K175" s="7">
        <v>316.82</v>
      </c>
      <c r="L175" t="s">
        <v>57</v>
      </c>
      <c r="M175" t="s">
        <v>75</v>
      </c>
      <c r="N175" s="9">
        <f>SalesData[[#This Row],[Profit]]/SalesData[[#This Row],[Sales]]</f>
        <v>9.0520000000000003E-2</v>
      </c>
    </row>
    <row r="176" spans="1:14">
      <c r="A176" t="s">
        <v>344</v>
      </c>
      <c r="B176" s="6">
        <v>45927</v>
      </c>
      <c r="C176" t="s">
        <v>345</v>
      </c>
      <c r="D176" t="s">
        <v>52</v>
      </c>
      <c r="E176" t="s">
        <v>47</v>
      </c>
      <c r="F176" t="s">
        <v>98</v>
      </c>
      <c r="G176">
        <v>3</v>
      </c>
      <c r="H176" s="7">
        <v>14500</v>
      </c>
      <c r="I176" s="8">
        <v>0</v>
      </c>
      <c r="J176" s="7">
        <v>43500</v>
      </c>
      <c r="K176" s="7">
        <v>6611.82</v>
      </c>
      <c r="L176" t="s">
        <v>43</v>
      </c>
      <c r="M176" t="s">
        <v>75</v>
      </c>
      <c r="N176" s="9">
        <f>SalesData[[#This Row],[Profit]]/SalesData[[#This Row],[Sales]]</f>
        <v>0.15199586206896551</v>
      </c>
    </row>
    <row r="177" spans="1:14">
      <c r="A177" t="s">
        <v>346</v>
      </c>
      <c r="B177" s="6">
        <v>45723</v>
      </c>
      <c r="C177" t="s">
        <v>240</v>
      </c>
      <c r="D177" t="s">
        <v>71</v>
      </c>
      <c r="E177" t="s">
        <v>66</v>
      </c>
      <c r="F177" t="s">
        <v>135</v>
      </c>
      <c r="G177">
        <v>1</v>
      </c>
      <c r="H177" s="7">
        <v>900</v>
      </c>
      <c r="I177" s="8">
        <v>0.2</v>
      </c>
      <c r="J177" s="7">
        <v>720</v>
      </c>
      <c r="K177" s="7">
        <v>24.83</v>
      </c>
      <c r="L177" t="s">
        <v>74</v>
      </c>
      <c r="M177" t="s">
        <v>44</v>
      </c>
      <c r="N177" s="9">
        <f>SalesData[[#This Row],[Profit]]/SalesData[[#This Row],[Sales]]</f>
        <v>3.4486111111111106E-2</v>
      </c>
    </row>
    <row r="178" spans="1:14">
      <c r="A178" t="s">
        <v>347</v>
      </c>
      <c r="B178" s="6">
        <v>45823</v>
      </c>
      <c r="C178" t="s">
        <v>348</v>
      </c>
      <c r="D178" t="s">
        <v>56</v>
      </c>
      <c r="E178" t="s">
        <v>41</v>
      </c>
      <c r="F178" t="s">
        <v>121</v>
      </c>
      <c r="G178">
        <v>3</v>
      </c>
      <c r="H178" s="7">
        <v>450</v>
      </c>
      <c r="I178" s="8">
        <v>0.05</v>
      </c>
      <c r="J178" s="7">
        <v>1282.5</v>
      </c>
      <c r="K178" s="7">
        <v>210.47</v>
      </c>
      <c r="L178" t="s">
        <v>43</v>
      </c>
      <c r="M178" t="s">
        <v>75</v>
      </c>
      <c r="N178" s="9">
        <f>SalesData[[#This Row],[Profit]]/SalesData[[#This Row],[Sales]]</f>
        <v>0.16410916179337232</v>
      </c>
    </row>
    <row r="179" spans="1:14">
      <c r="A179" t="s">
        <v>349</v>
      </c>
      <c r="B179" s="6">
        <v>45722</v>
      </c>
      <c r="C179" t="s">
        <v>179</v>
      </c>
      <c r="D179" t="s">
        <v>40</v>
      </c>
      <c r="E179" t="s">
        <v>53</v>
      </c>
      <c r="F179" t="s">
        <v>162</v>
      </c>
      <c r="G179">
        <v>2</v>
      </c>
      <c r="H179" s="7">
        <v>12000</v>
      </c>
      <c r="I179" s="8">
        <v>0.2</v>
      </c>
      <c r="J179" s="7">
        <v>19200</v>
      </c>
      <c r="K179" s="7">
        <v>2405.7800000000002</v>
      </c>
      <c r="L179" t="s">
        <v>43</v>
      </c>
      <c r="M179" t="s">
        <v>75</v>
      </c>
      <c r="N179" s="9">
        <f>SalesData[[#This Row],[Profit]]/SalesData[[#This Row],[Sales]]</f>
        <v>0.12530104166666667</v>
      </c>
    </row>
    <row r="180" spans="1:14">
      <c r="A180" t="s">
        <v>350</v>
      </c>
      <c r="B180" s="6">
        <v>45946</v>
      </c>
      <c r="C180" t="s">
        <v>213</v>
      </c>
      <c r="D180" t="s">
        <v>40</v>
      </c>
      <c r="E180" t="s">
        <v>47</v>
      </c>
      <c r="F180" t="s">
        <v>48</v>
      </c>
      <c r="G180">
        <v>6</v>
      </c>
      <c r="H180" s="7">
        <v>52000</v>
      </c>
      <c r="I180" s="8">
        <v>0.2</v>
      </c>
      <c r="J180" s="7">
        <v>249600</v>
      </c>
      <c r="K180" s="7">
        <v>13065.3</v>
      </c>
      <c r="L180" t="s">
        <v>74</v>
      </c>
      <c r="M180" t="s">
        <v>75</v>
      </c>
      <c r="N180" s="9">
        <f>SalesData[[#This Row],[Profit]]/SalesData[[#This Row],[Sales]]</f>
        <v>5.2344951923076921E-2</v>
      </c>
    </row>
    <row r="181" spans="1:14">
      <c r="A181" t="s">
        <v>351</v>
      </c>
      <c r="B181" s="6">
        <v>45974</v>
      </c>
      <c r="C181" t="s">
        <v>222</v>
      </c>
      <c r="D181" t="s">
        <v>52</v>
      </c>
      <c r="E181" t="s">
        <v>41</v>
      </c>
      <c r="F181" t="s">
        <v>85</v>
      </c>
      <c r="G181">
        <v>4</v>
      </c>
      <c r="H181" s="7">
        <v>1600</v>
      </c>
      <c r="I181" s="8">
        <v>0.05</v>
      </c>
      <c r="J181" s="7">
        <v>6080</v>
      </c>
      <c r="K181" s="7">
        <v>1162.8</v>
      </c>
      <c r="L181" t="s">
        <v>57</v>
      </c>
      <c r="M181" t="s">
        <v>75</v>
      </c>
      <c r="N181" s="9">
        <f>SalesData[[#This Row],[Profit]]/SalesData[[#This Row],[Sales]]</f>
        <v>0.19125</v>
      </c>
    </row>
    <row r="182" spans="1:14">
      <c r="A182" t="s">
        <v>352</v>
      </c>
      <c r="B182" s="6">
        <v>45890</v>
      </c>
      <c r="C182" t="s">
        <v>209</v>
      </c>
      <c r="D182" t="s">
        <v>40</v>
      </c>
      <c r="E182" t="s">
        <v>53</v>
      </c>
      <c r="F182" t="s">
        <v>54</v>
      </c>
      <c r="G182">
        <v>4</v>
      </c>
      <c r="H182" s="7">
        <v>7800</v>
      </c>
      <c r="I182" s="8">
        <v>0.15</v>
      </c>
      <c r="J182" s="7">
        <v>26520</v>
      </c>
      <c r="K182" s="7">
        <v>2700.02</v>
      </c>
      <c r="L182" t="s">
        <v>68</v>
      </c>
      <c r="M182" t="s">
        <v>44</v>
      </c>
      <c r="N182" s="9">
        <f>SalesData[[#This Row],[Profit]]/SalesData[[#This Row],[Sales]]</f>
        <v>0.1018107088989442</v>
      </c>
    </row>
    <row r="183" spans="1:14">
      <c r="A183" t="s">
        <v>353</v>
      </c>
      <c r="B183" s="6">
        <v>45818</v>
      </c>
      <c r="C183" t="s">
        <v>354</v>
      </c>
      <c r="D183" t="s">
        <v>56</v>
      </c>
      <c r="E183" t="s">
        <v>66</v>
      </c>
      <c r="F183" t="s">
        <v>78</v>
      </c>
      <c r="G183">
        <v>3</v>
      </c>
      <c r="H183" s="7">
        <v>700</v>
      </c>
      <c r="I183" s="8">
        <v>0.2</v>
      </c>
      <c r="J183" s="7">
        <v>1680</v>
      </c>
      <c r="K183" s="7">
        <v>167.77</v>
      </c>
      <c r="L183" t="s">
        <v>68</v>
      </c>
      <c r="M183" t="s">
        <v>44</v>
      </c>
      <c r="N183" s="9">
        <f>SalesData[[#This Row],[Profit]]/SalesData[[#This Row],[Sales]]</f>
        <v>9.9863095238095251E-2</v>
      </c>
    </row>
    <row r="184" spans="1:14">
      <c r="A184" t="s">
        <v>355</v>
      </c>
      <c r="B184" s="6">
        <v>45896</v>
      </c>
      <c r="C184" t="s">
        <v>144</v>
      </c>
      <c r="D184" t="s">
        <v>56</v>
      </c>
      <c r="E184" t="s">
        <v>66</v>
      </c>
      <c r="F184" t="s">
        <v>78</v>
      </c>
      <c r="G184">
        <v>2</v>
      </c>
      <c r="H184" s="7">
        <v>700</v>
      </c>
      <c r="I184" s="8">
        <v>0</v>
      </c>
      <c r="J184" s="7">
        <v>1400</v>
      </c>
      <c r="K184" s="7">
        <v>123.34</v>
      </c>
      <c r="L184" t="s">
        <v>57</v>
      </c>
      <c r="M184" t="s">
        <v>75</v>
      </c>
      <c r="N184" s="9">
        <f>SalesData[[#This Row],[Profit]]/SalesData[[#This Row],[Sales]]</f>
        <v>8.8099999999999998E-2</v>
      </c>
    </row>
    <row r="185" spans="1:14">
      <c r="A185" t="s">
        <v>356</v>
      </c>
      <c r="B185" s="6">
        <v>45785</v>
      </c>
      <c r="C185" t="s">
        <v>82</v>
      </c>
      <c r="D185" t="s">
        <v>56</v>
      </c>
      <c r="E185" t="s">
        <v>41</v>
      </c>
      <c r="F185" t="s">
        <v>42</v>
      </c>
      <c r="G185">
        <v>2</v>
      </c>
      <c r="H185" s="7">
        <v>120</v>
      </c>
      <c r="I185" s="8">
        <v>0.15</v>
      </c>
      <c r="J185" s="7">
        <v>204</v>
      </c>
      <c r="K185" s="7">
        <v>38.119999999999997</v>
      </c>
      <c r="L185" t="s">
        <v>57</v>
      </c>
      <c r="M185" t="s">
        <v>75</v>
      </c>
      <c r="N185" s="9">
        <f>SalesData[[#This Row],[Profit]]/SalesData[[#This Row],[Sales]]</f>
        <v>0.18686274509803921</v>
      </c>
    </row>
    <row r="186" spans="1:14">
      <c r="A186" t="s">
        <v>357</v>
      </c>
      <c r="B186" s="6">
        <v>45815</v>
      </c>
      <c r="C186" t="s">
        <v>77</v>
      </c>
      <c r="D186" t="s">
        <v>40</v>
      </c>
      <c r="E186" t="s">
        <v>47</v>
      </c>
      <c r="F186" t="s">
        <v>60</v>
      </c>
      <c r="G186">
        <v>5</v>
      </c>
      <c r="H186" s="7">
        <v>2500</v>
      </c>
      <c r="I186" s="8">
        <v>0.15</v>
      </c>
      <c r="J186" s="7">
        <v>10625</v>
      </c>
      <c r="K186" s="7">
        <v>1935.55</v>
      </c>
      <c r="L186" t="s">
        <v>74</v>
      </c>
      <c r="M186" t="s">
        <v>75</v>
      </c>
      <c r="N186" s="9">
        <f>SalesData[[#This Row],[Profit]]/SalesData[[#This Row],[Sales]]</f>
        <v>0.18216941176470589</v>
      </c>
    </row>
    <row r="187" spans="1:14">
      <c r="A187" t="s">
        <v>358</v>
      </c>
      <c r="B187" s="6">
        <v>45682</v>
      </c>
      <c r="C187" t="s">
        <v>359</v>
      </c>
      <c r="D187" t="s">
        <v>56</v>
      </c>
      <c r="E187" t="s">
        <v>66</v>
      </c>
      <c r="F187" t="s">
        <v>149</v>
      </c>
      <c r="G187">
        <v>3</v>
      </c>
      <c r="H187" s="7">
        <v>1800</v>
      </c>
      <c r="I187" s="8">
        <v>0.2</v>
      </c>
      <c r="J187" s="7">
        <v>4320</v>
      </c>
      <c r="K187" s="7">
        <v>129.6</v>
      </c>
      <c r="L187" t="s">
        <v>49</v>
      </c>
      <c r="M187" t="s">
        <v>75</v>
      </c>
      <c r="N187" s="9">
        <f>SalesData[[#This Row],[Profit]]/SalesData[[#This Row],[Sales]]</f>
        <v>0.03</v>
      </c>
    </row>
    <row r="188" spans="1:14">
      <c r="A188" t="s">
        <v>360</v>
      </c>
      <c r="B188" s="6">
        <v>45726</v>
      </c>
      <c r="C188" t="s">
        <v>125</v>
      </c>
      <c r="D188" t="s">
        <v>56</v>
      </c>
      <c r="E188" t="s">
        <v>66</v>
      </c>
      <c r="F188" t="s">
        <v>67</v>
      </c>
      <c r="G188">
        <v>1</v>
      </c>
      <c r="H188" s="7">
        <v>2200</v>
      </c>
      <c r="I188" s="8">
        <v>0.15</v>
      </c>
      <c r="J188" s="7">
        <v>1870</v>
      </c>
      <c r="K188" s="7">
        <v>66.73</v>
      </c>
      <c r="L188" t="s">
        <v>43</v>
      </c>
      <c r="M188" t="s">
        <v>44</v>
      </c>
      <c r="N188" s="9">
        <f>SalesData[[#This Row],[Profit]]/SalesData[[#This Row],[Sales]]</f>
        <v>3.568449197860963E-2</v>
      </c>
    </row>
    <row r="189" spans="1:14">
      <c r="A189" t="s">
        <v>361</v>
      </c>
      <c r="B189" s="6">
        <v>45843</v>
      </c>
      <c r="C189" t="s">
        <v>237</v>
      </c>
      <c r="D189" t="s">
        <v>40</v>
      </c>
      <c r="E189" t="s">
        <v>66</v>
      </c>
      <c r="F189" t="s">
        <v>149</v>
      </c>
      <c r="G189">
        <v>5</v>
      </c>
      <c r="H189" s="7">
        <v>1800</v>
      </c>
      <c r="I189" s="8">
        <v>0.1</v>
      </c>
      <c r="J189" s="7">
        <v>8100</v>
      </c>
      <c r="K189" s="7">
        <v>1434.1</v>
      </c>
      <c r="L189" t="s">
        <v>43</v>
      </c>
      <c r="M189" t="s">
        <v>44</v>
      </c>
      <c r="N189" s="9">
        <f>SalesData[[#This Row],[Profit]]/SalesData[[#This Row],[Sales]]</f>
        <v>0.17704938271604936</v>
      </c>
    </row>
    <row r="190" spans="1:14">
      <c r="A190" t="s">
        <v>362</v>
      </c>
      <c r="B190" s="6">
        <v>45723</v>
      </c>
      <c r="C190" t="s">
        <v>579</v>
      </c>
      <c r="D190" t="s">
        <v>52</v>
      </c>
      <c r="E190" t="s">
        <v>41</v>
      </c>
      <c r="F190" t="s">
        <v>85</v>
      </c>
      <c r="G190">
        <v>5</v>
      </c>
      <c r="H190" s="7">
        <v>1600</v>
      </c>
      <c r="I190" s="8">
        <v>0.1</v>
      </c>
      <c r="J190" s="7">
        <v>7200</v>
      </c>
      <c r="K190" s="7">
        <v>1193.72</v>
      </c>
      <c r="L190" t="s">
        <v>74</v>
      </c>
      <c r="M190" t="s">
        <v>75</v>
      </c>
      <c r="N190" s="9">
        <f>SalesData[[#This Row],[Profit]]/SalesData[[#This Row],[Sales]]</f>
        <v>0.16579444444444444</v>
      </c>
    </row>
    <row r="191" spans="1:14">
      <c r="A191" t="s">
        <v>363</v>
      </c>
      <c r="B191" s="6">
        <v>45914</v>
      </c>
      <c r="C191" t="s">
        <v>213</v>
      </c>
      <c r="D191" t="s">
        <v>40</v>
      </c>
      <c r="E191" t="s">
        <v>47</v>
      </c>
      <c r="F191" t="s">
        <v>98</v>
      </c>
      <c r="G191">
        <v>6</v>
      </c>
      <c r="H191" s="7">
        <v>14500</v>
      </c>
      <c r="I191" s="8">
        <v>0.1</v>
      </c>
      <c r="J191" s="7">
        <v>78300</v>
      </c>
      <c r="K191" s="7">
        <v>13595.58</v>
      </c>
      <c r="L191" t="s">
        <v>43</v>
      </c>
      <c r="M191" t="s">
        <v>75</v>
      </c>
      <c r="N191" s="9">
        <f>SalesData[[#This Row],[Profit]]/SalesData[[#This Row],[Sales]]</f>
        <v>0.1736344827586207</v>
      </c>
    </row>
    <row r="192" spans="1:14">
      <c r="A192" t="s">
        <v>364</v>
      </c>
      <c r="B192" s="6">
        <v>45734</v>
      </c>
      <c r="C192" t="s">
        <v>151</v>
      </c>
      <c r="D192" t="s">
        <v>71</v>
      </c>
      <c r="E192" t="s">
        <v>41</v>
      </c>
      <c r="F192" t="s">
        <v>85</v>
      </c>
      <c r="G192">
        <v>2</v>
      </c>
      <c r="H192" s="7">
        <v>1600</v>
      </c>
      <c r="I192" s="8">
        <v>0.15</v>
      </c>
      <c r="J192" s="7">
        <v>2720</v>
      </c>
      <c r="K192" s="7">
        <v>505.92</v>
      </c>
      <c r="L192" t="s">
        <v>68</v>
      </c>
      <c r="M192" t="s">
        <v>75</v>
      </c>
      <c r="N192" s="9">
        <f>SalesData[[#This Row],[Profit]]/SalesData[[#This Row],[Sales]]</f>
        <v>0.186</v>
      </c>
    </row>
    <row r="193" spans="1:14">
      <c r="A193" t="s">
        <v>365</v>
      </c>
      <c r="B193" s="6">
        <v>45917</v>
      </c>
      <c r="C193" t="s">
        <v>139</v>
      </c>
      <c r="D193" t="s">
        <v>52</v>
      </c>
      <c r="E193" t="s">
        <v>41</v>
      </c>
      <c r="F193" t="s">
        <v>91</v>
      </c>
      <c r="G193">
        <v>1</v>
      </c>
      <c r="H193" s="7">
        <v>220</v>
      </c>
      <c r="I193" s="8">
        <v>0.1</v>
      </c>
      <c r="J193" s="7">
        <v>198</v>
      </c>
      <c r="K193" s="7">
        <v>19.399999999999999</v>
      </c>
      <c r="L193" t="s">
        <v>49</v>
      </c>
      <c r="M193" t="s">
        <v>75</v>
      </c>
      <c r="N193" s="9">
        <f>SalesData[[#This Row],[Profit]]/SalesData[[#This Row],[Sales]]</f>
        <v>9.7979797979797972E-2</v>
      </c>
    </row>
    <row r="194" spans="1:14">
      <c r="A194" t="s">
        <v>366</v>
      </c>
      <c r="B194" s="6">
        <v>45956</v>
      </c>
      <c r="C194" t="s">
        <v>283</v>
      </c>
      <c r="D194" t="s">
        <v>40</v>
      </c>
      <c r="E194" t="s">
        <v>66</v>
      </c>
      <c r="F194" t="s">
        <v>67</v>
      </c>
      <c r="G194">
        <v>6</v>
      </c>
      <c r="H194" s="7">
        <v>2200</v>
      </c>
      <c r="I194" s="8">
        <v>0.2</v>
      </c>
      <c r="J194" s="7">
        <v>10560</v>
      </c>
      <c r="K194" s="7">
        <v>1081.57</v>
      </c>
      <c r="L194" t="s">
        <v>49</v>
      </c>
      <c r="M194" t="s">
        <v>75</v>
      </c>
      <c r="N194" s="9">
        <f>SalesData[[#This Row],[Profit]]/SalesData[[#This Row],[Sales]]</f>
        <v>0.10242140151515151</v>
      </c>
    </row>
    <row r="195" spans="1:14">
      <c r="A195" t="s">
        <v>367</v>
      </c>
      <c r="B195" s="6">
        <v>45745</v>
      </c>
      <c r="C195" t="s">
        <v>233</v>
      </c>
      <c r="D195" t="s">
        <v>52</v>
      </c>
      <c r="E195" t="s">
        <v>53</v>
      </c>
      <c r="F195" t="s">
        <v>162</v>
      </c>
      <c r="G195">
        <v>1</v>
      </c>
      <c r="H195" s="7">
        <v>12000</v>
      </c>
      <c r="I195" s="8">
        <v>0.2</v>
      </c>
      <c r="J195" s="7">
        <v>9600</v>
      </c>
      <c r="K195" s="7">
        <v>1552.44</v>
      </c>
      <c r="L195" t="s">
        <v>49</v>
      </c>
      <c r="M195" t="s">
        <v>44</v>
      </c>
      <c r="N195" s="9">
        <f>SalesData[[#This Row],[Profit]]/SalesData[[#This Row],[Sales]]</f>
        <v>0.16171250000000001</v>
      </c>
    </row>
    <row r="196" spans="1:14">
      <c r="A196" t="s">
        <v>368</v>
      </c>
      <c r="B196" s="6">
        <v>45667</v>
      </c>
      <c r="C196" t="s">
        <v>303</v>
      </c>
      <c r="D196" t="s">
        <v>56</v>
      </c>
      <c r="E196" t="s">
        <v>66</v>
      </c>
      <c r="F196" t="s">
        <v>78</v>
      </c>
      <c r="G196">
        <v>4</v>
      </c>
      <c r="H196" s="7">
        <v>700</v>
      </c>
      <c r="I196" s="8">
        <v>0.05</v>
      </c>
      <c r="J196" s="7">
        <v>2660</v>
      </c>
      <c r="K196" s="7">
        <v>340.91</v>
      </c>
      <c r="L196" t="s">
        <v>43</v>
      </c>
      <c r="M196" t="s">
        <v>75</v>
      </c>
      <c r="N196" s="9">
        <f>SalesData[[#This Row],[Profit]]/SalesData[[#This Row],[Sales]]</f>
        <v>0.12816165413533837</v>
      </c>
    </row>
    <row r="197" spans="1:14">
      <c r="A197" t="s">
        <v>369</v>
      </c>
      <c r="B197" s="6">
        <v>45689</v>
      </c>
      <c r="C197" t="s">
        <v>370</v>
      </c>
      <c r="D197" t="s">
        <v>71</v>
      </c>
      <c r="E197" t="s">
        <v>41</v>
      </c>
      <c r="F197" t="s">
        <v>91</v>
      </c>
      <c r="G197">
        <v>5</v>
      </c>
      <c r="H197" s="7">
        <v>220</v>
      </c>
      <c r="I197" s="8">
        <v>0.15</v>
      </c>
      <c r="J197" s="7">
        <v>935</v>
      </c>
      <c r="K197" s="7">
        <v>72.650000000000006</v>
      </c>
      <c r="L197" t="s">
        <v>74</v>
      </c>
      <c r="M197" t="s">
        <v>75</v>
      </c>
      <c r="N197" s="9">
        <f>SalesData[[#This Row],[Profit]]/SalesData[[#This Row],[Sales]]</f>
        <v>7.77005347593583E-2</v>
      </c>
    </row>
    <row r="198" spans="1:14">
      <c r="A198" t="s">
        <v>371</v>
      </c>
      <c r="B198" s="6">
        <v>45930</v>
      </c>
      <c r="C198" t="s">
        <v>372</v>
      </c>
      <c r="D198" t="s">
        <v>56</v>
      </c>
      <c r="E198" t="s">
        <v>41</v>
      </c>
      <c r="F198" t="s">
        <v>91</v>
      </c>
      <c r="G198">
        <v>2</v>
      </c>
      <c r="H198" s="7">
        <v>220</v>
      </c>
      <c r="I198" s="8">
        <v>0.05</v>
      </c>
      <c r="J198" s="7">
        <v>418</v>
      </c>
      <c r="K198" s="7">
        <v>44.78</v>
      </c>
      <c r="L198" t="s">
        <v>68</v>
      </c>
      <c r="M198" t="s">
        <v>44</v>
      </c>
      <c r="N198" s="9">
        <f>SalesData[[#This Row],[Profit]]/SalesData[[#This Row],[Sales]]</f>
        <v>0.10712918660287081</v>
      </c>
    </row>
    <row r="199" spans="1:14">
      <c r="A199" t="s">
        <v>373</v>
      </c>
      <c r="B199" s="6">
        <v>45810</v>
      </c>
      <c r="C199" t="s">
        <v>237</v>
      </c>
      <c r="D199" t="s">
        <v>71</v>
      </c>
      <c r="E199" t="s">
        <v>66</v>
      </c>
      <c r="F199" t="s">
        <v>67</v>
      </c>
      <c r="G199">
        <v>4</v>
      </c>
      <c r="H199" s="7">
        <v>2200</v>
      </c>
      <c r="I199" s="8">
        <v>0.1</v>
      </c>
      <c r="J199" s="7">
        <v>7920</v>
      </c>
      <c r="K199" s="7">
        <v>1066.6500000000001</v>
      </c>
      <c r="L199" t="s">
        <v>68</v>
      </c>
      <c r="M199" t="s">
        <v>75</v>
      </c>
      <c r="N199" s="9">
        <f>SalesData[[#This Row],[Profit]]/SalesData[[#This Row],[Sales]]</f>
        <v>0.13467803030303033</v>
      </c>
    </row>
    <row r="200" spans="1:14">
      <c r="A200" t="s">
        <v>374</v>
      </c>
      <c r="B200" s="6">
        <v>45720</v>
      </c>
      <c r="C200" t="s">
        <v>51</v>
      </c>
      <c r="D200" t="s">
        <v>52</v>
      </c>
      <c r="E200" t="s">
        <v>66</v>
      </c>
      <c r="F200" t="s">
        <v>67</v>
      </c>
      <c r="G200">
        <v>2</v>
      </c>
      <c r="H200" s="7">
        <v>2200</v>
      </c>
      <c r="I200" s="8">
        <v>0.1</v>
      </c>
      <c r="J200" s="7">
        <v>3960</v>
      </c>
      <c r="K200" s="7">
        <v>204.85</v>
      </c>
      <c r="L200" t="s">
        <v>49</v>
      </c>
      <c r="M200" t="s">
        <v>75</v>
      </c>
      <c r="N200" s="9">
        <f>SalesData[[#This Row],[Profit]]/SalesData[[#This Row],[Sales]]</f>
        <v>5.172979797979798E-2</v>
      </c>
    </row>
    <row r="201" spans="1:14">
      <c r="A201" t="s">
        <v>375</v>
      </c>
      <c r="B201" s="6">
        <v>45884</v>
      </c>
      <c r="C201" t="s">
        <v>285</v>
      </c>
      <c r="D201" t="s">
        <v>52</v>
      </c>
      <c r="E201" t="s">
        <v>53</v>
      </c>
      <c r="F201" t="s">
        <v>162</v>
      </c>
      <c r="G201">
        <v>5</v>
      </c>
      <c r="H201" s="7">
        <v>12000</v>
      </c>
      <c r="I201" s="8">
        <v>0.1</v>
      </c>
      <c r="J201" s="7">
        <v>54000</v>
      </c>
      <c r="K201" s="7">
        <v>10491.33</v>
      </c>
      <c r="L201" t="s">
        <v>68</v>
      </c>
      <c r="M201" t="s">
        <v>44</v>
      </c>
      <c r="N201" s="9">
        <f>SalesData[[#This Row],[Profit]]/SalesData[[#This Row],[Sales]]</f>
        <v>0.19428388888888889</v>
      </c>
    </row>
    <row r="202" spans="1:14">
      <c r="A202" t="s">
        <v>376</v>
      </c>
      <c r="B202" s="6">
        <v>45713</v>
      </c>
      <c r="C202" t="s">
        <v>93</v>
      </c>
      <c r="D202" t="s">
        <v>71</v>
      </c>
      <c r="E202" t="s">
        <v>47</v>
      </c>
      <c r="F202" t="s">
        <v>98</v>
      </c>
      <c r="G202">
        <v>6</v>
      </c>
      <c r="H202" s="7">
        <v>14500</v>
      </c>
      <c r="I202" s="8">
        <v>0.05</v>
      </c>
      <c r="J202" s="7">
        <v>82650</v>
      </c>
      <c r="K202" s="7">
        <v>5859.77</v>
      </c>
      <c r="L202" t="s">
        <v>57</v>
      </c>
      <c r="M202" t="s">
        <v>75</v>
      </c>
      <c r="N202" s="9">
        <f>SalesData[[#This Row],[Profit]]/SalesData[[#This Row],[Sales]]</f>
        <v>7.0898608590441628E-2</v>
      </c>
    </row>
    <row r="203" spans="1:14">
      <c r="A203" t="s">
        <v>377</v>
      </c>
      <c r="B203" s="6">
        <v>45899</v>
      </c>
      <c r="C203" t="s">
        <v>106</v>
      </c>
      <c r="D203" t="s">
        <v>71</v>
      </c>
      <c r="E203" t="s">
        <v>47</v>
      </c>
      <c r="F203" t="s">
        <v>98</v>
      </c>
      <c r="G203">
        <v>4</v>
      </c>
      <c r="H203" s="7">
        <v>14500</v>
      </c>
      <c r="I203" s="8">
        <v>0.15</v>
      </c>
      <c r="J203" s="7">
        <v>49300</v>
      </c>
      <c r="K203" s="7">
        <v>5121.8599999999997</v>
      </c>
      <c r="L203" t="s">
        <v>74</v>
      </c>
      <c r="M203" t="s">
        <v>75</v>
      </c>
      <c r="N203" s="9">
        <f>SalesData[[#This Row],[Profit]]/SalesData[[#This Row],[Sales]]</f>
        <v>0.10389168356997971</v>
      </c>
    </row>
    <row r="204" spans="1:14">
      <c r="A204" t="s">
        <v>378</v>
      </c>
      <c r="B204" s="6">
        <v>45822</v>
      </c>
      <c r="C204" t="s">
        <v>237</v>
      </c>
      <c r="D204" t="s">
        <v>40</v>
      </c>
      <c r="E204" t="s">
        <v>47</v>
      </c>
      <c r="F204" t="s">
        <v>98</v>
      </c>
      <c r="G204">
        <v>5</v>
      </c>
      <c r="H204" s="7">
        <v>14500</v>
      </c>
      <c r="I204" s="8">
        <v>0</v>
      </c>
      <c r="J204" s="7">
        <v>72500</v>
      </c>
      <c r="K204" s="7">
        <v>16393.46</v>
      </c>
      <c r="L204" t="s">
        <v>74</v>
      </c>
      <c r="M204" t="s">
        <v>75</v>
      </c>
      <c r="N204" s="9">
        <f>SalesData[[#This Row],[Profit]]/SalesData[[#This Row],[Sales]]</f>
        <v>0.2261166896551724</v>
      </c>
    </row>
    <row r="205" spans="1:14">
      <c r="A205" t="s">
        <v>379</v>
      </c>
      <c r="B205" s="6">
        <v>45748</v>
      </c>
      <c r="C205" t="s">
        <v>319</v>
      </c>
      <c r="D205" t="s">
        <v>52</v>
      </c>
      <c r="E205" t="s">
        <v>66</v>
      </c>
      <c r="F205" t="s">
        <v>78</v>
      </c>
      <c r="G205">
        <v>6</v>
      </c>
      <c r="H205" s="7">
        <v>700</v>
      </c>
      <c r="I205" s="8">
        <v>0.1</v>
      </c>
      <c r="J205" s="7">
        <v>3780</v>
      </c>
      <c r="K205" s="7">
        <v>700.35</v>
      </c>
      <c r="L205" t="s">
        <v>49</v>
      </c>
      <c r="M205" t="s">
        <v>75</v>
      </c>
      <c r="N205" s="9">
        <f>SalesData[[#This Row],[Profit]]/SalesData[[#This Row],[Sales]]</f>
        <v>0.18527777777777779</v>
      </c>
    </row>
    <row r="206" spans="1:14">
      <c r="A206" t="s">
        <v>380</v>
      </c>
      <c r="B206" s="6">
        <v>45948</v>
      </c>
      <c r="C206" t="s">
        <v>177</v>
      </c>
      <c r="D206" t="s">
        <v>56</v>
      </c>
      <c r="E206" t="s">
        <v>41</v>
      </c>
      <c r="F206" t="s">
        <v>91</v>
      </c>
      <c r="G206">
        <v>6</v>
      </c>
      <c r="H206" s="7">
        <v>220</v>
      </c>
      <c r="I206" s="8">
        <v>0.2</v>
      </c>
      <c r="J206" s="7">
        <v>1056</v>
      </c>
      <c r="K206" s="7">
        <v>99.15</v>
      </c>
      <c r="L206" t="s">
        <v>74</v>
      </c>
      <c r="M206" t="s">
        <v>75</v>
      </c>
      <c r="N206" s="9">
        <f>SalesData[[#This Row],[Profit]]/SalesData[[#This Row],[Sales]]</f>
        <v>9.3892045454545464E-2</v>
      </c>
    </row>
    <row r="207" spans="1:14">
      <c r="A207" t="s">
        <v>381</v>
      </c>
      <c r="B207" s="6">
        <v>45797</v>
      </c>
      <c r="C207" t="s">
        <v>193</v>
      </c>
      <c r="D207" t="s">
        <v>40</v>
      </c>
      <c r="E207" t="s">
        <v>41</v>
      </c>
      <c r="F207" t="s">
        <v>42</v>
      </c>
      <c r="G207">
        <v>6</v>
      </c>
      <c r="H207" s="7">
        <v>120</v>
      </c>
      <c r="I207" s="8">
        <v>0.15</v>
      </c>
      <c r="J207" s="7">
        <v>612</v>
      </c>
      <c r="K207" s="7">
        <v>80.31</v>
      </c>
      <c r="L207" t="s">
        <v>74</v>
      </c>
      <c r="M207" t="s">
        <v>44</v>
      </c>
      <c r="N207" s="9">
        <f>SalesData[[#This Row],[Profit]]/SalesData[[#This Row],[Sales]]</f>
        <v>0.13122549019607843</v>
      </c>
    </row>
    <row r="208" spans="1:14">
      <c r="A208" t="s">
        <v>382</v>
      </c>
      <c r="B208" s="6">
        <v>45830</v>
      </c>
      <c r="C208" t="s">
        <v>62</v>
      </c>
      <c r="D208" t="s">
        <v>71</v>
      </c>
      <c r="E208" t="s">
        <v>53</v>
      </c>
      <c r="F208" t="s">
        <v>54</v>
      </c>
      <c r="G208">
        <v>4</v>
      </c>
      <c r="H208" s="7">
        <v>7800</v>
      </c>
      <c r="I208" s="8">
        <v>0.2</v>
      </c>
      <c r="J208" s="7">
        <v>24960</v>
      </c>
      <c r="K208" s="7">
        <v>1559.21</v>
      </c>
      <c r="L208" t="s">
        <v>57</v>
      </c>
      <c r="M208" t="s">
        <v>44</v>
      </c>
      <c r="N208" s="9">
        <f>SalesData[[#This Row],[Profit]]/SalesData[[#This Row],[Sales]]</f>
        <v>6.2468349358974364E-2</v>
      </c>
    </row>
    <row r="209" spans="1:14">
      <c r="A209" t="s">
        <v>383</v>
      </c>
      <c r="B209" s="6">
        <v>45752</v>
      </c>
      <c r="C209" t="s">
        <v>370</v>
      </c>
      <c r="D209" t="s">
        <v>52</v>
      </c>
      <c r="E209" t="s">
        <v>41</v>
      </c>
      <c r="F209" t="s">
        <v>42</v>
      </c>
      <c r="G209">
        <v>1</v>
      </c>
      <c r="H209" s="7">
        <v>120</v>
      </c>
      <c r="I209" s="8">
        <v>0.1</v>
      </c>
      <c r="J209" s="7">
        <v>108</v>
      </c>
      <c r="K209" s="7">
        <v>11.49</v>
      </c>
      <c r="L209" t="s">
        <v>57</v>
      </c>
      <c r="M209" t="s">
        <v>75</v>
      </c>
      <c r="N209" s="9">
        <f>SalesData[[#This Row],[Profit]]/SalesData[[#This Row],[Sales]]</f>
        <v>0.10638888888888889</v>
      </c>
    </row>
    <row r="210" spans="1:14">
      <c r="A210" t="s">
        <v>384</v>
      </c>
      <c r="B210" s="6">
        <v>45826</v>
      </c>
      <c r="C210" t="s">
        <v>179</v>
      </c>
      <c r="D210" t="s">
        <v>40</v>
      </c>
      <c r="E210" t="s">
        <v>41</v>
      </c>
      <c r="F210" t="s">
        <v>85</v>
      </c>
      <c r="G210">
        <v>6</v>
      </c>
      <c r="H210" s="7">
        <v>1600</v>
      </c>
      <c r="I210" s="8">
        <v>0.05</v>
      </c>
      <c r="J210" s="7">
        <v>9120</v>
      </c>
      <c r="K210" s="7">
        <v>660.65</v>
      </c>
      <c r="L210" t="s">
        <v>49</v>
      </c>
      <c r="M210" t="s">
        <v>75</v>
      </c>
      <c r="N210" s="9">
        <f>SalesData[[#This Row],[Profit]]/SalesData[[#This Row],[Sales]]</f>
        <v>7.2439692982456144E-2</v>
      </c>
    </row>
    <row r="211" spans="1:14">
      <c r="A211" t="s">
        <v>385</v>
      </c>
      <c r="B211" s="6">
        <v>45815</v>
      </c>
      <c r="C211" t="s">
        <v>82</v>
      </c>
      <c r="D211" t="s">
        <v>52</v>
      </c>
      <c r="E211" t="s">
        <v>41</v>
      </c>
      <c r="F211" t="s">
        <v>121</v>
      </c>
      <c r="G211">
        <v>6</v>
      </c>
      <c r="H211" s="7">
        <v>450</v>
      </c>
      <c r="I211" s="8">
        <v>0.1</v>
      </c>
      <c r="J211" s="7">
        <v>2430</v>
      </c>
      <c r="K211" s="7">
        <v>252.25</v>
      </c>
      <c r="L211" t="s">
        <v>74</v>
      </c>
      <c r="M211" t="s">
        <v>44</v>
      </c>
      <c r="N211" s="9">
        <f>SalesData[[#This Row],[Profit]]/SalesData[[#This Row],[Sales]]</f>
        <v>0.10380658436213992</v>
      </c>
    </row>
    <row r="212" spans="1:14">
      <c r="A212" t="s">
        <v>386</v>
      </c>
      <c r="B212" s="6">
        <v>45726</v>
      </c>
      <c r="C212" t="s">
        <v>113</v>
      </c>
      <c r="D212" t="s">
        <v>71</v>
      </c>
      <c r="E212" t="s">
        <v>66</v>
      </c>
      <c r="F212" t="s">
        <v>67</v>
      </c>
      <c r="G212">
        <v>4</v>
      </c>
      <c r="H212" s="7">
        <v>2200</v>
      </c>
      <c r="I212" s="8">
        <v>0.2</v>
      </c>
      <c r="J212" s="7">
        <v>7040</v>
      </c>
      <c r="K212" s="7">
        <v>1098.57</v>
      </c>
      <c r="L212" t="s">
        <v>43</v>
      </c>
      <c r="M212" t="s">
        <v>44</v>
      </c>
      <c r="N212" s="9">
        <f>SalesData[[#This Row],[Profit]]/SalesData[[#This Row],[Sales]]</f>
        <v>0.156046875</v>
      </c>
    </row>
    <row r="213" spans="1:14">
      <c r="A213" t="s">
        <v>387</v>
      </c>
      <c r="B213" s="6">
        <v>45784</v>
      </c>
      <c r="C213" t="s">
        <v>161</v>
      </c>
      <c r="D213" t="s">
        <v>52</v>
      </c>
      <c r="E213" t="s">
        <v>41</v>
      </c>
      <c r="F213" t="s">
        <v>121</v>
      </c>
      <c r="G213">
        <v>5</v>
      </c>
      <c r="H213" s="7">
        <v>450</v>
      </c>
      <c r="I213" s="8">
        <v>0</v>
      </c>
      <c r="J213" s="7">
        <v>2250</v>
      </c>
      <c r="K213" s="7">
        <v>202.23</v>
      </c>
      <c r="L213" t="s">
        <v>43</v>
      </c>
      <c r="M213" t="s">
        <v>44</v>
      </c>
      <c r="N213" s="9">
        <f>SalesData[[#This Row],[Profit]]/SalesData[[#This Row],[Sales]]</f>
        <v>8.9880000000000002E-2</v>
      </c>
    </row>
    <row r="214" spans="1:14">
      <c r="A214" t="s">
        <v>388</v>
      </c>
      <c r="B214" s="6">
        <v>45951</v>
      </c>
      <c r="C214" t="s">
        <v>389</v>
      </c>
      <c r="D214" t="s">
        <v>71</v>
      </c>
      <c r="E214" t="s">
        <v>53</v>
      </c>
      <c r="F214" t="s">
        <v>119</v>
      </c>
      <c r="G214">
        <v>5</v>
      </c>
      <c r="H214" s="7">
        <v>6500</v>
      </c>
      <c r="I214" s="8">
        <v>0.15</v>
      </c>
      <c r="J214" s="7">
        <v>27625</v>
      </c>
      <c r="K214" s="7">
        <v>1273.47</v>
      </c>
      <c r="L214" t="s">
        <v>74</v>
      </c>
      <c r="M214" t="s">
        <v>75</v>
      </c>
      <c r="N214" s="9">
        <f>SalesData[[#This Row],[Profit]]/SalesData[[#This Row],[Sales]]</f>
        <v>4.609846153846154E-2</v>
      </c>
    </row>
    <row r="215" spans="1:14">
      <c r="A215" t="s">
        <v>390</v>
      </c>
      <c r="B215" s="6">
        <v>45704</v>
      </c>
      <c r="C215" t="s">
        <v>139</v>
      </c>
      <c r="D215" t="s">
        <v>52</v>
      </c>
      <c r="E215" t="s">
        <v>47</v>
      </c>
      <c r="F215" t="s">
        <v>60</v>
      </c>
      <c r="G215">
        <v>2</v>
      </c>
      <c r="H215" s="7">
        <v>2500</v>
      </c>
      <c r="I215" s="8">
        <v>0.2</v>
      </c>
      <c r="J215" s="7">
        <v>4000</v>
      </c>
      <c r="K215" s="7">
        <v>305.87</v>
      </c>
      <c r="L215" t="s">
        <v>43</v>
      </c>
      <c r="M215" t="s">
        <v>44</v>
      </c>
      <c r="N215" s="9">
        <f>SalesData[[#This Row],[Profit]]/SalesData[[#This Row],[Sales]]</f>
        <v>7.6467500000000008E-2</v>
      </c>
    </row>
    <row r="216" spans="1:14">
      <c r="A216" t="s">
        <v>391</v>
      </c>
      <c r="B216" s="6">
        <v>45944</v>
      </c>
      <c r="C216" t="s">
        <v>224</v>
      </c>
      <c r="D216" t="s">
        <v>56</v>
      </c>
      <c r="E216" t="s">
        <v>47</v>
      </c>
      <c r="F216" t="s">
        <v>60</v>
      </c>
      <c r="G216">
        <v>3</v>
      </c>
      <c r="H216" s="7">
        <v>2500</v>
      </c>
      <c r="I216" s="8">
        <v>0</v>
      </c>
      <c r="J216" s="7">
        <v>7500</v>
      </c>
      <c r="K216" s="7">
        <v>1494.97</v>
      </c>
      <c r="L216" t="s">
        <v>43</v>
      </c>
      <c r="M216" t="s">
        <v>44</v>
      </c>
      <c r="N216" s="9">
        <f>SalesData[[#This Row],[Profit]]/SalesData[[#This Row],[Sales]]</f>
        <v>0.19932933333333333</v>
      </c>
    </row>
    <row r="217" spans="1:14">
      <c r="A217" t="s">
        <v>392</v>
      </c>
      <c r="B217" s="6">
        <v>45681</v>
      </c>
      <c r="C217" t="s">
        <v>46</v>
      </c>
      <c r="D217" t="s">
        <v>56</v>
      </c>
      <c r="E217" t="s">
        <v>47</v>
      </c>
      <c r="F217" t="s">
        <v>48</v>
      </c>
      <c r="G217">
        <v>1</v>
      </c>
      <c r="H217" s="7">
        <v>52000</v>
      </c>
      <c r="I217" s="8">
        <v>0.15</v>
      </c>
      <c r="J217" s="7">
        <v>44200</v>
      </c>
      <c r="K217" s="7">
        <v>1439.93</v>
      </c>
      <c r="L217" t="s">
        <v>57</v>
      </c>
      <c r="M217" t="s">
        <v>44</v>
      </c>
      <c r="N217" s="9">
        <f>SalesData[[#This Row],[Profit]]/SalesData[[#This Row],[Sales]]</f>
        <v>3.2577601809954754E-2</v>
      </c>
    </row>
    <row r="218" spans="1:14">
      <c r="A218" t="s">
        <v>393</v>
      </c>
      <c r="B218" s="6">
        <v>45727</v>
      </c>
      <c r="C218" t="s">
        <v>146</v>
      </c>
      <c r="D218" t="s">
        <v>56</v>
      </c>
      <c r="E218" t="s">
        <v>66</v>
      </c>
      <c r="F218" t="s">
        <v>149</v>
      </c>
      <c r="G218">
        <v>4</v>
      </c>
      <c r="H218" s="7">
        <v>1800</v>
      </c>
      <c r="I218" s="8">
        <v>0.15</v>
      </c>
      <c r="J218" s="7">
        <v>6120</v>
      </c>
      <c r="K218" s="7">
        <v>246.88</v>
      </c>
      <c r="L218" t="s">
        <v>43</v>
      </c>
      <c r="M218" t="s">
        <v>44</v>
      </c>
      <c r="N218" s="9">
        <f>SalesData[[#This Row],[Profit]]/SalesData[[#This Row],[Sales]]</f>
        <v>4.033986928104575E-2</v>
      </c>
    </row>
    <row r="219" spans="1:14">
      <c r="A219" t="s">
        <v>394</v>
      </c>
      <c r="B219" s="6">
        <v>45992</v>
      </c>
      <c r="C219" t="s">
        <v>294</v>
      </c>
      <c r="D219" t="s">
        <v>40</v>
      </c>
      <c r="E219" t="s">
        <v>53</v>
      </c>
      <c r="F219" t="s">
        <v>54</v>
      </c>
      <c r="G219">
        <v>5</v>
      </c>
      <c r="H219" s="7">
        <v>7800</v>
      </c>
      <c r="I219" s="8">
        <v>0.05</v>
      </c>
      <c r="J219" s="7">
        <v>37050</v>
      </c>
      <c r="K219" s="7">
        <v>6630.37</v>
      </c>
      <c r="L219" t="s">
        <v>74</v>
      </c>
      <c r="M219" t="s">
        <v>44</v>
      </c>
      <c r="N219" s="9">
        <f>SalesData[[#This Row],[Profit]]/SalesData[[#This Row],[Sales]]</f>
        <v>0.17895735492577597</v>
      </c>
    </row>
    <row r="220" spans="1:14">
      <c r="A220" t="s">
        <v>395</v>
      </c>
      <c r="B220" s="6">
        <v>45669</v>
      </c>
      <c r="C220" t="s">
        <v>396</v>
      </c>
      <c r="D220" t="s">
        <v>52</v>
      </c>
      <c r="E220" t="s">
        <v>66</v>
      </c>
      <c r="F220" t="s">
        <v>149</v>
      </c>
      <c r="G220">
        <v>2</v>
      </c>
      <c r="H220" s="7">
        <v>1800</v>
      </c>
      <c r="I220" s="8">
        <v>0.05</v>
      </c>
      <c r="J220" s="7">
        <v>3420</v>
      </c>
      <c r="K220" s="7">
        <v>465.8</v>
      </c>
      <c r="L220" t="s">
        <v>74</v>
      </c>
      <c r="M220" t="s">
        <v>75</v>
      </c>
      <c r="N220" s="9">
        <f>SalesData[[#This Row],[Profit]]/SalesData[[#This Row],[Sales]]</f>
        <v>0.13619883040935674</v>
      </c>
    </row>
    <row r="221" spans="1:14">
      <c r="A221" t="s">
        <v>397</v>
      </c>
      <c r="B221" s="6">
        <v>45754</v>
      </c>
      <c r="C221" t="s">
        <v>39</v>
      </c>
      <c r="D221" t="s">
        <v>40</v>
      </c>
      <c r="E221" t="s">
        <v>66</v>
      </c>
      <c r="F221" t="s">
        <v>135</v>
      </c>
      <c r="G221">
        <v>2</v>
      </c>
      <c r="H221" s="7">
        <v>900</v>
      </c>
      <c r="I221" s="8">
        <v>0.05</v>
      </c>
      <c r="J221" s="7">
        <v>1710</v>
      </c>
      <c r="K221" s="7">
        <v>125.29</v>
      </c>
      <c r="L221" t="s">
        <v>43</v>
      </c>
      <c r="M221" t="s">
        <v>44</v>
      </c>
      <c r="N221" s="9">
        <f>SalesData[[#This Row],[Profit]]/SalesData[[#This Row],[Sales]]</f>
        <v>7.326900584795322E-2</v>
      </c>
    </row>
    <row r="222" spans="1:14">
      <c r="A222" t="s">
        <v>398</v>
      </c>
      <c r="B222" s="6">
        <v>45886</v>
      </c>
      <c r="C222" t="s">
        <v>359</v>
      </c>
      <c r="D222" t="s">
        <v>579</v>
      </c>
      <c r="E222" t="s">
        <v>47</v>
      </c>
      <c r="F222" t="s">
        <v>60</v>
      </c>
      <c r="G222">
        <v>4</v>
      </c>
      <c r="H222" s="7">
        <v>2500</v>
      </c>
      <c r="I222" s="8">
        <v>0.05</v>
      </c>
      <c r="J222" s="7">
        <v>9500</v>
      </c>
      <c r="K222" s="7">
        <v>1414.18</v>
      </c>
      <c r="L222" t="s">
        <v>49</v>
      </c>
      <c r="M222" t="s">
        <v>44</v>
      </c>
      <c r="N222" s="9">
        <f>SalesData[[#This Row],[Profit]]/SalesData[[#This Row],[Sales]]</f>
        <v>0.14886105263157895</v>
      </c>
    </row>
    <row r="223" spans="1:14">
      <c r="A223" t="s">
        <v>399</v>
      </c>
      <c r="B223" s="6">
        <v>45915</v>
      </c>
      <c r="C223" t="s">
        <v>323</v>
      </c>
      <c r="D223" t="s">
        <v>71</v>
      </c>
      <c r="E223" t="s">
        <v>41</v>
      </c>
      <c r="F223" t="s">
        <v>85</v>
      </c>
      <c r="G223">
        <v>2</v>
      </c>
      <c r="H223" s="7">
        <v>1600</v>
      </c>
      <c r="I223" s="8">
        <v>0.1</v>
      </c>
      <c r="J223" s="7">
        <v>2880</v>
      </c>
      <c r="K223" s="7">
        <v>533.38</v>
      </c>
      <c r="L223" t="s">
        <v>43</v>
      </c>
      <c r="M223" t="s">
        <v>44</v>
      </c>
      <c r="N223" s="9">
        <f>SalesData[[#This Row],[Profit]]/SalesData[[#This Row],[Sales]]</f>
        <v>0.18520138888888887</v>
      </c>
    </row>
    <row r="224" spans="1:14">
      <c r="A224" t="s">
        <v>400</v>
      </c>
      <c r="B224" s="6">
        <v>45869</v>
      </c>
      <c r="C224" t="s">
        <v>396</v>
      </c>
      <c r="D224" t="s">
        <v>56</v>
      </c>
      <c r="E224" t="s">
        <v>47</v>
      </c>
      <c r="F224" t="s">
        <v>98</v>
      </c>
      <c r="G224">
        <v>6</v>
      </c>
      <c r="H224" s="7">
        <v>14500</v>
      </c>
      <c r="I224" s="8">
        <v>0.15</v>
      </c>
      <c r="J224" s="7">
        <v>73950</v>
      </c>
      <c r="K224" s="7">
        <v>8610.4500000000007</v>
      </c>
      <c r="L224" t="s">
        <v>49</v>
      </c>
      <c r="M224" t="s">
        <v>75</v>
      </c>
      <c r="N224" s="9">
        <f>SalesData[[#This Row],[Profit]]/SalesData[[#This Row],[Sales]]</f>
        <v>0.11643610547667343</v>
      </c>
    </row>
    <row r="225" spans="1:14">
      <c r="A225" t="s">
        <v>401</v>
      </c>
      <c r="B225" s="6">
        <v>45987</v>
      </c>
      <c r="C225" t="s">
        <v>65</v>
      </c>
      <c r="D225" t="s">
        <v>56</v>
      </c>
      <c r="E225" t="s">
        <v>66</v>
      </c>
      <c r="F225" t="s">
        <v>149</v>
      </c>
      <c r="G225">
        <v>2</v>
      </c>
      <c r="H225" s="7">
        <v>1800</v>
      </c>
      <c r="I225" s="8">
        <v>0.1</v>
      </c>
      <c r="J225" s="7">
        <v>3240</v>
      </c>
      <c r="K225" s="7">
        <v>340.96</v>
      </c>
      <c r="L225" t="s">
        <v>43</v>
      </c>
      <c r="M225" t="s">
        <v>75</v>
      </c>
      <c r="N225" s="9">
        <f>SalesData[[#This Row],[Profit]]/SalesData[[#This Row],[Sales]]</f>
        <v>0.10523456790123456</v>
      </c>
    </row>
    <row r="226" spans="1:14">
      <c r="A226" t="s">
        <v>402</v>
      </c>
      <c r="B226" s="6">
        <v>45781</v>
      </c>
      <c r="C226" t="s">
        <v>348</v>
      </c>
      <c r="D226" t="s">
        <v>56</v>
      </c>
      <c r="E226" t="s">
        <v>53</v>
      </c>
      <c r="F226" t="s">
        <v>54</v>
      </c>
      <c r="G226">
        <v>1</v>
      </c>
      <c r="H226" s="7">
        <v>7800</v>
      </c>
      <c r="I226" s="8">
        <v>0.2</v>
      </c>
      <c r="J226" s="7">
        <v>6240</v>
      </c>
      <c r="K226" s="7">
        <v>474.42</v>
      </c>
      <c r="L226" t="s">
        <v>57</v>
      </c>
      <c r="M226" t="s">
        <v>44</v>
      </c>
      <c r="N226" s="9">
        <f>SalesData[[#This Row],[Profit]]/SalesData[[#This Row],[Sales]]</f>
        <v>7.6028846153846155E-2</v>
      </c>
    </row>
    <row r="227" spans="1:14">
      <c r="A227" t="s">
        <v>403</v>
      </c>
      <c r="B227" s="6">
        <v>45856</v>
      </c>
      <c r="C227" t="s">
        <v>404</v>
      </c>
      <c r="D227" t="s">
        <v>56</v>
      </c>
      <c r="E227" t="s">
        <v>53</v>
      </c>
      <c r="F227" t="s">
        <v>119</v>
      </c>
      <c r="G227">
        <v>6</v>
      </c>
      <c r="H227" s="7">
        <v>6500</v>
      </c>
      <c r="I227" s="8">
        <v>0</v>
      </c>
      <c r="J227" s="7">
        <v>39000</v>
      </c>
      <c r="K227" s="7">
        <v>8874.69</v>
      </c>
      <c r="L227" t="s">
        <v>68</v>
      </c>
      <c r="M227" t="s">
        <v>44</v>
      </c>
      <c r="N227" s="9">
        <f>SalesData[[#This Row],[Profit]]/SalesData[[#This Row],[Sales]]</f>
        <v>0.22755615384615385</v>
      </c>
    </row>
    <row r="228" spans="1:14">
      <c r="A228" t="s">
        <v>405</v>
      </c>
      <c r="B228" s="6">
        <v>45932</v>
      </c>
      <c r="C228" t="s">
        <v>111</v>
      </c>
      <c r="D228" t="s">
        <v>40</v>
      </c>
      <c r="E228" t="s">
        <v>41</v>
      </c>
      <c r="F228" t="s">
        <v>91</v>
      </c>
      <c r="G228">
        <v>6</v>
      </c>
      <c r="H228" s="7">
        <v>220</v>
      </c>
      <c r="I228" s="8">
        <v>0.2</v>
      </c>
      <c r="J228" s="7">
        <v>1056</v>
      </c>
      <c r="K228" s="7">
        <v>112.43</v>
      </c>
      <c r="L228" t="s">
        <v>49</v>
      </c>
      <c r="M228" t="s">
        <v>44</v>
      </c>
      <c r="N228" s="9">
        <f>SalesData[[#This Row],[Profit]]/SalesData[[#This Row],[Sales]]</f>
        <v>0.10646780303030304</v>
      </c>
    </row>
    <row r="229" spans="1:14">
      <c r="A229" t="s">
        <v>406</v>
      </c>
      <c r="B229" s="6">
        <v>45958</v>
      </c>
      <c r="C229" t="s">
        <v>407</v>
      </c>
      <c r="D229" t="s">
        <v>52</v>
      </c>
      <c r="E229" t="s">
        <v>53</v>
      </c>
      <c r="F229" t="s">
        <v>119</v>
      </c>
      <c r="G229">
        <v>3</v>
      </c>
      <c r="H229" s="7">
        <v>6500</v>
      </c>
      <c r="I229" s="8">
        <v>0</v>
      </c>
      <c r="J229" s="7">
        <v>19500</v>
      </c>
      <c r="K229" s="7">
        <v>2220.84</v>
      </c>
      <c r="L229" t="s">
        <v>74</v>
      </c>
      <c r="M229" t="s">
        <v>44</v>
      </c>
      <c r="N229" s="9">
        <f>SalesData[[#This Row],[Profit]]/SalesData[[#This Row],[Sales]]</f>
        <v>0.11388923076923077</v>
      </c>
    </row>
    <row r="230" spans="1:14">
      <c r="A230" t="s">
        <v>408</v>
      </c>
      <c r="B230" s="6">
        <v>45903</v>
      </c>
      <c r="C230" t="s">
        <v>404</v>
      </c>
      <c r="D230" t="s">
        <v>71</v>
      </c>
      <c r="E230" t="s">
        <v>66</v>
      </c>
      <c r="F230" t="s">
        <v>78</v>
      </c>
      <c r="G230">
        <v>5</v>
      </c>
      <c r="H230" s="7">
        <v>700</v>
      </c>
      <c r="I230" s="8">
        <v>0.1</v>
      </c>
      <c r="J230" s="7">
        <v>3150</v>
      </c>
      <c r="K230" s="7">
        <v>532.61</v>
      </c>
      <c r="L230" t="s">
        <v>57</v>
      </c>
      <c r="M230" t="s">
        <v>75</v>
      </c>
      <c r="N230" s="9">
        <f>SalesData[[#This Row],[Profit]]/SalesData[[#This Row],[Sales]]</f>
        <v>0.1690825396825397</v>
      </c>
    </row>
    <row r="231" spans="1:14">
      <c r="A231" t="s">
        <v>409</v>
      </c>
      <c r="B231" s="6">
        <v>45931</v>
      </c>
      <c r="C231" t="s">
        <v>410</v>
      </c>
      <c r="D231" t="s">
        <v>56</v>
      </c>
      <c r="E231" t="s">
        <v>41</v>
      </c>
      <c r="F231" t="s">
        <v>85</v>
      </c>
      <c r="G231">
        <v>5</v>
      </c>
      <c r="H231" s="7">
        <v>1600</v>
      </c>
      <c r="I231" s="8">
        <v>0.15</v>
      </c>
      <c r="J231" s="7">
        <v>6800</v>
      </c>
      <c r="K231" s="7">
        <v>694.01</v>
      </c>
      <c r="L231" t="s">
        <v>57</v>
      </c>
      <c r="M231" t="s">
        <v>75</v>
      </c>
      <c r="N231" s="9">
        <f>SalesData[[#This Row],[Profit]]/SalesData[[#This Row],[Sales]]</f>
        <v>0.10206029411764705</v>
      </c>
    </row>
    <row r="232" spans="1:14">
      <c r="A232" t="s">
        <v>411</v>
      </c>
      <c r="B232" s="6">
        <v>45762</v>
      </c>
      <c r="C232" t="s">
        <v>260</v>
      </c>
      <c r="D232" t="s">
        <v>56</v>
      </c>
      <c r="E232" t="s">
        <v>66</v>
      </c>
      <c r="F232" t="s">
        <v>135</v>
      </c>
      <c r="G232">
        <v>5</v>
      </c>
      <c r="H232" s="7">
        <v>900</v>
      </c>
      <c r="I232" s="8">
        <v>0.05</v>
      </c>
      <c r="J232" s="7">
        <v>4275</v>
      </c>
      <c r="K232" s="7">
        <v>774.2</v>
      </c>
      <c r="L232" t="s">
        <v>49</v>
      </c>
      <c r="M232" t="s">
        <v>75</v>
      </c>
      <c r="N232" s="9">
        <f>SalesData[[#This Row],[Profit]]/SalesData[[#This Row],[Sales]]</f>
        <v>0.18109941520467837</v>
      </c>
    </row>
    <row r="233" spans="1:14">
      <c r="A233" t="s">
        <v>412</v>
      </c>
      <c r="B233" s="6">
        <v>45941</v>
      </c>
      <c r="C233" t="s">
        <v>249</v>
      </c>
      <c r="D233" t="s">
        <v>56</v>
      </c>
      <c r="E233" t="s">
        <v>53</v>
      </c>
      <c r="F233" t="s">
        <v>162</v>
      </c>
      <c r="G233">
        <v>3</v>
      </c>
      <c r="H233" s="7">
        <v>12000</v>
      </c>
      <c r="I233" s="8">
        <v>0.05</v>
      </c>
      <c r="J233" s="7">
        <v>34200</v>
      </c>
      <c r="K233" s="7">
        <v>4215.9799999999996</v>
      </c>
      <c r="L233" t="s">
        <v>74</v>
      </c>
      <c r="M233" t="s">
        <v>75</v>
      </c>
      <c r="N233" s="9">
        <f>SalesData[[#This Row],[Profit]]/SalesData[[#This Row],[Sales]]</f>
        <v>0.12327426900584794</v>
      </c>
    </row>
    <row r="234" spans="1:14">
      <c r="A234" t="s">
        <v>413</v>
      </c>
      <c r="B234" s="6">
        <v>45939</v>
      </c>
      <c r="C234" t="s">
        <v>414</v>
      </c>
      <c r="D234" t="s">
        <v>56</v>
      </c>
      <c r="E234" t="s">
        <v>66</v>
      </c>
      <c r="F234" t="s">
        <v>149</v>
      </c>
      <c r="G234">
        <v>4</v>
      </c>
      <c r="H234" s="7">
        <v>1800</v>
      </c>
      <c r="I234" s="8">
        <v>0.05</v>
      </c>
      <c r="J234" s="7">
        <v>6840</v>
      </c>
      <c r="K234" s="7">
        <v>1229.45</v>
      </c>
      <c r="L234" t="s">
        <v>68</v>
      </c>
      <c r="M234" t="s">
        <v>44</v>
      </c>
      <c r="N234" s="9">
        <f>SalesData[[#This Row],[Profit]]/SalesData[[#This Row],[Sales]]</f>
        <v>0.17974415204678362</v>
      </c>
    </row>
    <row r="235" spans="1:14">
      <c r="A235" t="s">
        <v>415</v>
      </c>
      <c r="B235" s="6">
        <v>45729</v>
      </c>
      <c r="C235" t="s">
        <v>51</v>
      </c>
      <c r="D235" t="s">
        <v>52</v>
      </c>
      <c r="E235" t="s">
        <v>53</v>
      </c>
      <c r="F235" t="s">
        <v>63</v>
      </c>
      <c r="G235">
        <v>5</v>
      </c>
      <c r="H235" s="7">
        <v>8500</v>
      </c>
      <c r="I235" s="8">
        <v>0</v>
      </c>
      <c r="J235" s="7">
        <v>42500</v>
      </c>
      <c r="K235" s="7">
        <v>9105.67</v>
      </c>
      <c r="L235" t="s">
        <v>49</v>
      </c>
      <c r="M235" t="s">
        <v>44</v>
      </c>
      <c r="N235" s="9">
        <f>SalesData[[#This Row],[Profit]]/SalesData[[#This Row],[Sales]]</f>
        <v>0.21425105882352941</v>
      </c>
    </row>
    <row r="236" spans="1:14">
      <c r="A236" t="s">
        <v>416</v>
      </c>
      <c r="B236" s="6">
        <v>45661</v>
      </c>
      <c r="C236" t="s">
        <v>345</v>
      </c>
      <c r="D236" t="s">
        <v>71</v>
      </c>
      <c r="E236" t="s">
        <v>53</v>
      </c>
      <c r="F236" t="s">
        <v>63</v>
      </c>
      <c r="G236">
        <v>6</v>
      </c>
      <c r="H236" s="7">
        <v>8500</v>
      </c>
      <c r="I236" s="8">
        <v>0.05</v>
      </c>
      <c r="J236" s="7">
        <v>48450</v>
      </c>
      <c r="K236" s="7">
        <v>3098.99</v>
      </c>
      <c r="L236" t="s">
        <v>43</v>
      </c>
      <c r="M236" t="s">
        <v>75</v>
      </c>
      <c r="N236" s="9">
        <f>SalesData[[#This Row],[Profit]]/SalesData[[#This Row],[Sales]]</f>
        <v>6.3962641898864803E-2</v>
      </c>
    </row>
    <row r="237" spans="1:14">
      <c r="A237" t="s">
        <v>417</v>
      </c>
      <c r="B237" s="6">
        <v>45849</v>
      </c>
      <c r="C237" t="s">
        <v>203</v>
      </c>
      <c r="D237" t="s">
        <v>52</v>
      </c>
      <c r="E237" t="s">
        <v>66</v>
      </c>
      <c r="F237" t="s">
        <v>135</v>
      </c>
      <c r="G237">
        <v>1</v>
      </c>
      <c r="H237" s="7">
        <v>900</v>
      </c>
      <c r="I237" s="8">
        <v>0.2</v>
      </c>
      <c r="J237" s="7">
        <v>720</v>
      </c>
      <c r="K237" s="7">
        <v>70.75</v>
      </c>
      <c r="L237" t="s">
        <v>49</v>
      </c>
      <c r="M237" t="s">
        <v>44</v>
      </c>
      <c r="N237" s="9">
        <f>SalesData[[#This Row],[Profit]]/SalesData[[#This Row],[Sales]]</f>
        <v>9.8263888888888887E-2</v>
      </c>
    </row>
    <row r="238" spans="1:14">
      <c r="A238" t="s">
        <v>418</v>
      </c>
      <c r="B238" s="6">
        <v>45929</v>
      </c>
      <c r="C238" t="s">
        <v>227</v>
      </c>
      <c r="D238" t="s">
        <v>56</v>
      </c>
      <c r="E238" t="s">
        <v>47</v>
      </c>
      <c r="F238" t="s">
        <v>60</v>
      </c>
      <c r="G238">
        <v>2</v>
      </c>
      <c r="H238" s="7">
        <v>2500</v>
      </c>
      <c r="I238" s="8">
        <v>0</v>
      </c>
      <c r="J238" s="7">
        <v>5000</v>
      </c>
      <c r="K238" s="7">
        <v>1134.44</v>
      </c>
      <c r="L238" t="s">
        <v>43</v>
      </c>
      <c r="M238" t="s">
        <v>44</v>
      </c>
      <c r="N238" s="9">
        <f>SalesData[[#This Row],[Profit]]/SalesData[[#This Row],[Sales]]</f>
        <v>0.22688800000000001</v>
      </c>
    </row>
    <row r="239" spans="1:14">
      <c r="A239" t="s">
        <v>419</v>
      </c>
      <c r="B239" s="6">
        <v>45781</v>
      </c>
      <c r="C239" t="s">
        <v>193</v>
      </c>
      <c r="D239" t="s">
        <v>56</v>
      </c>
      <c r="E239" t="s">
        <v>41</v>
      </c>
      <c r="F239" t="s">
        <v>85</v>
      </c>
      <c r="G239">
        <v>4</v>
      </c>
      <c r="H239" s="7">
        <v>1600</v>
      </c>
      <c r="I239" s="8">
        <v>0</v>
      </c>
      <c r="J239" s="7">
        <v>6400</v>
      </c>
      <c r="K239" s="7">
        <v>894</v>
      </c>
      <c r="L239" t="s">
        <v>57</v>
      </c>
      <c r="M239" t="s">
        <v>75</v>
      </c>
      <c r="N239" s="9">
        <f>SalesData[[#This Row],[Profit]]/SalesData[[#This Row],[Sales]]</f>
        <v>0.13968749999999999</v>
      </c>
    </row>
    <row r="240" spans="1:14">
      <c r="A240" t="s">
        <v>420</v>
      </c>
      <c r="B240" s="6">
        <v>45947</v>
      </c>
      <c r="C240" t="s">
        <v>404</v>
      </c>
      <c r="D240" t="s">
        <v>71</v>
      </c>
      <c r="E240" t="s">
        <v>41</v>
      </c>
      <c r="F240" t="s">
        <v>121</v>
      </c>
      <c r="G240">
        <v>6</v>
      </c>
      <c r="H240" s="7">
        <v>450</v>
      </c>
      <c r="I240" s="8">
        <v>0</v>
      </c>
      <c r="J240" s="7">
        <v>2700</v>
      </c>
      <c r="K240" s="7">
        <v>256.39</v>
      </c>
      <c r="L240" t="s">
        <v>57</v>
      </c>
      <c r="M240" t="s">
        <v>75</v>
      </c>
      <c r="N240" s="9">
        <f>SalesData[[#This Row],[Profit]]/SalesData[[#This Row],[Sales]]</f>
        <v>9.4959259259259257E-2</v>
      </c>
    </row>
    <row r="241" spans="1:14">
      <c r="A241" t="s">
        <v>421</v>
      </c>
      <c r="B241" s="6">
        <v>45940</v>
      </c>
      <c r="C241" t="s">
        <v>104</v>
      </c>
      <c r="D241" t="s">
        <v>40</v>
      </c>
      <c r="E241" t="s">
        <v>47</v>
      </c>
      <c r="F241" t="s">
        <v>98</v>
      </c>
      <c r="G241">
        <v>1</v>
      </c>
      <c r="H241" s="7">
        <v>14500</v>
      </c>
      <c r="I241" s="8">
        <v>0.15</v>
      </c>
      <c r="J241" s="7">
        <v>12325</v>
      </c>
      <c r="K241" s="7">
        <v>2005.93</v>
      </c>
      <c r="L241" t="s">
        <v>68</v>
      </c>
      <c r="M241" t="s">
        <v>44</v>
      </c>
      <c r="N241" s="9">
        <f>SalesData[[#This Row],[Profit]]/SalesData[[#This Row],[Sales]]</f>
        <v>0.1627529411764706</v>
      </c>
    </row>
    <row r="242" spans="1:14">
      <c r="A242" t="s">
        <v>422</v>
      </c>
      <c r="B242" s="6">
        <v>45928</v>
      </c>
      <c r="C242" t="s">
        <v>213</v>
      </c>
      <c r="D242" t="s">
        <v>71</v>
      </c>
      <c r="E242" t="s">
        <v>53</v>
      </c>
      <c r="F242" t="s">
        <v>54</v>
      </c>
      <c r="G242">
        <v>3</v>
      </c>
      <c r="H242" s="7">
        <v>7800</v>
      </c>
      <c r="I242" s="8">
        <v>0</v>
      </c>
      <c r="J242" s="7">
        <v>23400</v>
      </c>
      <c r="K242" s="7">
        <v>5332.05</v>
      </c>
      <c r="L242" t="s">
        <v>68</v>
      </c>
      <c r="M242" t="s">
        <v>44</v>
      </c>
      <c r="N242" s="9">
        <f>SalesData[[#This Row],[Profit]]/SalesData[[#This Row],[Sales]]</f>
        <v>0.22786538461538464</v>
      </c>
    </row>
    <row r="243" spans="1:14">
      <c r="A243" t="s">
        <v>423</v>
      </c>
      <c r="B243" s="6">
        <v>45749</v>
      </c>
      <c r="C243" t="s">
        <v>117</v>
      </c>
      <c r="D243" t="s">
        <v>40</v>
      </c>
      <c r="E243" t="s">
        <v>53</v>
      </c>
      <c r="F243" t="s">
        <v>162</v>
      </c>
      <c r="G243">
        <v>6</v>
      </c>
      <c r="H243" s="7">
        <v>12000</v>
      </c>
      <c r="I243" s="8">
        <v>0.15</v>
      </c>
      <c r="J243" s="7">
        <v>61200</v>
      </c>
      <c r="K243" s="7">
        <v>10778.54</v>
      </c>
      <c r="L243" t="s">
        <v>68</v>
      </c>
      <c r="M243" t="s">
        <v>44</v>
      </c>
      <c r="N243" s="9">
        <f>SalesData[[#This Row],[Profit]]/SalesData[[#This Row],[Sales]]</f>
        <v>0.17611993464052289</v>
      </c>
    </row>
    <row r="244" spans="1:14">
      <c r="A244" t="s">
        <v>424</v>
      </c>
      <c r="B244" s="6">
        <v>45946</v>
      </c>
      <c r="C244" t="s">
        <v>93</v>
      </c>
      <c r="D244" t="s">
        <v>52</v>
      </c>
      <c r="E244" t="s">
        <v>41</v>
      </c>
      <c r="F244" t="s">
        <v>91</v>
      </c>
      <c r="G244">
        <v>6</v>
      </c>
      <c r="H244" s="7">
        <v>220</v>
      </c>
      <c r="I244" s="8">
        <v>0.05</v>
      </c>
      <c r="J244" s="7">
        <v>1254</v>
      </c>
      <c r="K244" s="7">
        <v>236.98</v>
      </c>
      <c r="L244" t="s">
        <v>49</v>
      </c>
      <c r="M244" t="s">
        <v>75</v>
      </c>
      <c r="N244" s="9">
        <f>SalesData[[#This Row],[Profit]]/SalesData[[#This Row],[Sales]]</f>
        <v>0.18897926634768739</v>
      </c>
    </row>
    <row r="245" spans="1:14">
      <c r="A245" t="s">
        <v>425</v>
      </c>
      <c r="B245" s="6">
        <v>45685</v>
      </c>
      <c r="C245" t="s">
        <v>106</v>
      </c>
      <c r="D245" t="s">
        <v>52</v>
      </c>
      <c r="E245" t="s">
        <v>53</v>
      </c>
      <c r="F245" t="s">
        <v>63</v>
      </c>
      <c r="G245">
        <v>3</v>
      </c>
      <c r="H245" s="7">
        <v>8500</v>
      </c>
      <c r="I245" s="8">
        <v>0.2</v>
      </c>
      <c r="J245" s="7">
        <v>20400</v>
      </c>
      <c r="K245" s="7">
        <v>2714.03</v>
      </c>
      <c r="L245" t="s">
        <v>43</v>
      </c>
      <c r="M245" t="s">
        <v>75</v>
      </c>
      <c r="N245" s="9">
        <f>SalesData[[#This Row],[Profit]]/SalesData[[#This Row],[Sales]]</f>
        <v>0.13304068627450982</v>
      </c>
    </row>
    <row r="246" spans="1:14">
      <c r="A246" t="s">
        <v>426</v>
      </c>
      <c r="B246" s="6">
        <v>45825</v>
      </c>
      <c r="C246" t="s">
        <v>222</v>
      </c>
      <c r="D246" t="s">
        <v>56</v>
      </c>
      <c r="E246" t="s">
        <v>66</v>
      </c>
      <c r="F246" t="s">
        <v>149</v>
      </c>
      <c r="G246">
        <v>2</v>
      </c>
      <c r="H246" s="7">
        <v>1800</v>
      </c>
      <c r="I246" s="8">
        <v>0.1</v>
      </c>
      <c r="J246" s="7">
        <v>3240</v>
      </c>
      <c r="K246" s="7">
        <v>432.49</v>
      </c>
      <c r="L246" t="s">
        <v>57</v>
      </c>
      <c r="M246" t="s">
        <v>75</v>
      </c>
      <c r="N246" s="9">
        <f>SalesData[[#This Row],[Profit]]/SalesData[[#This Row],[Sales]]</f>
        <v>0.13348456790123456</v>
      </c>
    </row>
    <row r="247" spans="1:14">
      <c r="A247" t="s">
        <v>427</v>
      </c>
      <c r="B247" s="6">
        <v>45753</v>
      </c>
      <c r="C247" t="s">
        <v>65</v>
      </c>
      <c r="D247" t="s">
        <v>40</v>
      </c>
      <c r="E247" t="s">
        <v>41</v>
      </c>
      <c r="F247" t="s">
        <v>42</v>
      </c>
      <c r="G247">
        <v>6</v>
      </c>
      <c r="H247" s="7">
        <v>120</v>
      </c>
      <c r="I247" s="8">
        <v>0</v>
      </c>
      <c r="J247" s="7">
        <v>720</v>
      </c>
      <c r="K247" s="7">
        <v>67.05</v>
      </c>
      <c r="L247" t="s">
        <v>74</v>
      </c>
      <c r="M247" t="s">
        <v>75</v>
      </c>
      <c r="N247" s="9">
        <f>SalesData[[#This Row],[Profit]]/SalesData[[#This Row],[Sales]]</f>
        <v>9.3124999999999999E-2</v>
      </c>
    </row>
    <row r="248" spans="1:14">
      <c r="A248" t="s">
        <v>428</v>
      </c>
      <c r="B248" s="6">
        <v>46022</v>
      </c>
      <c r="C248" t="s">
        <v>258</v>
      </c>
      <c r="D248" t="s">
        <v>52</v>
      </c>
      <c r="E248" t="s">
        <v>41</v>
      </c>
      <c r="F248" t="s">
        <v>85</v>
      </c>
      <c r="G248">
        <v>1</v>
      </c>
      <c r="H248" s="7">
        <v>1600</v>
      </c>
      <c r="I248" s="8">
        <v>0</v>
      </c>
      <c r="J248" s="7">
        <v>1600</v>
      </c>
      <c r="K248" s="7">
        <v>129.33000000000001</v>
      </c>
      <c r="L248" t="s">
        <v>68</v>
      </c>
      <c r="M248" t="s">
        <v>75</v>
      </c>
      <c r="N248" s="9">
        <f>SalesData[[#This Row],[Profit]]/SalesData[[#This Row],[Sales]]</f>
        <v>8.0831250000000007E-2</v>
      </c>
    </row>
    <row r="249" spans="1:14">
      <c r="A249" t="s">
        <v>429</v>
      </c>
      <c r="B249" s="6">
        <v>45842</v>
      </c>
      <c r="C249" t="s">
        <v>182</v>
      </c>
      <c r="D249" t="s">
        <v>40</v>
      </c>
      <c r="E249" t="s">
        <v>53</v>
      </c>
      <c r="F249" t="s">
        <v>63</v>
      </c>
      <c r="G249">
        <v>2</v>
      </c>
      <c r="H249" s="7">
        <v>8500</v>
      </c>
      <c r="I249" s="8">
        <v>0.15</v>
      </c>
      <c r="J249" s="7">
        <v>14450</v>
      </c>
      <c r="K249" s="7">
        <v>1435.1</v>
      </c>
      <c r="L249" t="s">
        <v>43</v>
      </c>
      <c r="M249" t="s">
        <v>75</v>
      </c>
      <c r="N249" s="9">
        <f>SalesData[[#This Row],[Profit]]/SalesData[[#This Row],[Sales]]</f>
        <v>9.9314878892733563E-2</v>
      </c>
    </row>
    <row r="250" spans="1:14">
      <c r="A250" t="s">
        <v>430</v>
      </c>
      <c r="B250" s="6">
        <v>45710</v>
      </c>
      <c r="C250" t="s">
        <v>267</v>
      </c>
      <c r="D250" t="s">
        <v>40</v>
      </c>
      <c r="E250" t="s">
        <v>41</v>
      </c>
      <c r="F250" t="s">
        <v>121</v>
      </c>
      <c r="G250">
        <v>5</v>
      </c>
      <c r="H250" s="7">
        <v>450</v>
      </c>
      <c r="I250" s="8">
        <v>0.2</v>
      </c>
      <c r="J250" s="7">
        <v>1800</v>
      </c>
      <c r="K250" s="7">
        <v>243.92</v>
      </c>
      <c r="L250" t="s">
        <v>57</v>
      </c>
      <c r="M250" t="s">
        <v>44</v>
      </c>
      <c r="N250" s="9">
        <f>SalesData[[#This Row],[Profit]]/SalesData[[#This Row],[Sales]]</f>
        <v>0.13551111111111111</v>
      </c>
    </row>
    <row r="251" spans="1:14">
      <c r="A251" t="s">
        <v>431</v>
      </c>
      <c r="B251" s="6">
        <v>45807</v>
      </c>
      <c r="C251" t="s">
        <v>345</v>
      </c>
      <c r="D251" t="s">
        <v>52</v>
      </c>
      <c r="E251" t="s">
        <v>47</v>
      </c>
      <c r="F251" t="s">
        <v>98</v>
      </c>
      <c r="G251">
        <v>5</v>
      </c>
      <c r="H251" s="7">
        <v>14500</v>
      </c>
      <c r="I251" s="8">
        <v>0.2</v>
      </c>
      <c r="J251" s="7">
        <v>58000</v>
      </c>
      <c r="K251" s="7">
        <v>2153.73</v>
      </c>
      <c r="L251" t="s">
        <v>57</v>
      </c>
      <c r="M251" t="s">
        <v>44</v>
      </c>
      <c r="N251" s="9">
        <f>SalesData[[#This Row],[Profit]]/SalesData[[#This Row],[Sales]]</f>
        <v>3.7133275862068965E-2</v>
      </c>
    </row>
    <row r="252" spans="1:14">
      <c r="A252" t="s">
        <v>432</v>
      </c>
      <c r="B252" s="6">
        <v>45729</v>
      </c>
      <c r="C252" t="s">
        <v>433</v>
      </c>
      <c r="D252" t="s">
        <v>56</v>
      </c>
      <c r="E252" t="s">
        <v>41</v>
      </c>
      <c r="F252" t="s">
        <v>91</v>
      </c>
      <c r="G252">
        <v>2</v>
      </c>
      <c r="H252" s="7">
        <v>220</v>
      </c>
      <c r="I252" s="8">
        <v>0</v>
      </c>
      <c r="J252" s="7">
        <v>440</v>
      </c>
      <c r="K252" s="7">
        <v>46.97</v>
      </c>
      <c r="L252" t="s">
        <v>68</v>
      </c>
      <c r="M252" t="s">
        <v>75</v>
      </c>
      <c r="N252" s="9">
        <f>SalesData[[#This Row],[Profit]]/SalesData[[#This Row],[Sales]]</f>
        <v>0.10675</v>
      </c>
    </row>
    <row r="253" spans="1:14">
      <c r="A253" t="s">
        <v>434</v>
      </c>
      <c r="B253" s="6">
        <v>45811</v>
      </c>
      <c r="C253" t="s">
        <v>251</v>
      </c>
      <c r="D253" t="s">
        <v>40</v>
      </c>
      <c r="E253" t="s">
        <v>41</v>
      </c>
      <c r="F253" t="s">
        <v>85</v>
      </c>
      <c r="G253">
        <v>2</v>
      </c>
      <c r="H253" s="7">
        <v>1600</v>
      </c>
      <c r="I253" s="8">
        <v>0.15</v>
      </c>
      <c r="J253" s="7">
        <v>2720</v>
      </c>
      <c r="K253" s="7">
        <v>333.22</v>
      </c>
      <c r="L253" t="s">
        <v>74</v>
      </c>
      <c r="M253" t="s">
        <v>75</v>
      </c>
      <c r="N253" s="9">
        <f>SalesData[[#This Row],[Profit]]/SalesData[[#This Row],[Sales]]</f>
        <v>0.12250735294117648</v>
      </c>
    </row>
    <row r="254" spans="1:14">
      <c r="A254" t="s">
        <v>435</v>
      </c>
      <c r="B254" s="6">
        <v>45712</v>
      </c>
      <c r="C254" t="s">
        <v>436</v>
      </c>
      <c r="D254" t="s">
        <v>56</v>
      </c>
      <c r="E254" t="s">
        <v>47</v>
      </c>
      <c r="F254" t="s">
        <v>60</v>
      </c>
      <c r="G254">
        <v>3</v>
      </c>
      <c r="H254" s="7">
        <v>2500</v>
      </c>
      <c r="I254" s="8">
        <v>0.2</v>
      </c>
      <c r="J254" s="7">
        <v>6000</v>
      </c>
      <c r="K254" s="7">
        <v>424.69</v>
      </c>
      <c r="L254" t="s">
        <v>68</v>
      </c>
      <c r="M254" t="s">
        <v>75</v>
      </c>
      <c r="N254" s="9">
        <f>SalesData[[#This Row],[Profit]]/SalesData[[#This Row],[Sales]]</f>
        <v>7.0781666666666659E-2</v>
      </c>
    </row>
    <row r="255" spans="1:14">
      <c r="A255" t="s">
        <v>437</v>
      </c>
      <c r="B255" s="6">
        <v>45829</v>
      </c>
      <c r="C255" t="s">
        <v>148</v>
      </c>
      <c r="D255" t="s">
        <v>71</v>
      </c>
      <c r="E255" t="s">
        <v>41</v>
      </c>
      <c r="F255" t="s">
        <v>85</v>
      </c>
      <c r="G255">
        <v>5</v>
      </c>
      <c r="H255" s="7">
        <v>1600</v>
      </c>
      <c r="I255" s="8">
        <v>0.05</v>
      </c>
      <c r="J255" s="7">
        <v>7600</v>
      </c>
      <c r="K255" s="7">
        <v>1057.48</v>
      </c>
      <c r="L255" t="s">
        <v>74</v>
      </c>
      <c r="M255" t="s">
        <v>75</v>
      </c>
      <c r="N255" s="9">
        <f>SalesData[[#This Row],[Profit]]/SalesData[[#This Row],[Sales]]</f>
        <v>0.1391421052631579</v>
      </c>
    </row>
    <row r="256" spans="1:14">
      <c r="A256" t="s">
        <v>438</v>
      </c>
      <c r="B256" s="6">
        <v>45821</v>
      </c>
      <c r="C256" t="s">
        <v>323</v>
      </c>
      <c r="D256" t="s">
        <v>52</v>
      </c>
      <c r="E256" t="s">
        <v>53</v>
      </c>
      <c r="F256" t="s">
        <v>119</v>
      </c>
      <c r="G256">
        <v>4</v>
      </c>
      <c r="H256" s="7">
        <v>6500</v>
      </c>
      <c r="I256" s="8">
        <v>0.1</v>
      </c>
      <c r="J256" s="7">
        <v>23400</v>
      </c>
      <c r="K256" s="7">
        <v>4109.96</v>
      </c>
      <c r="L256" t="s">
        <v>57</v>
      </c>
      <c r="M256" t="s">
        <v>75</v>
      </c>
      <c r="N256" s="9">
        <f>SalesData[[#This Row],[Profit]]/SalesData[[#This Row],[Sales]]</f>
        <v>0.17563931623931625</v>
      </c>
    </row>
    <row r="257" spans="1:14">
      <c r="A257" t="s">
        <v>439</v>
      </c>
      <c r="B257" s="6">
        <v>45716</v>
      </c>
      <c r="C257" t="s">
        <v>329</v>
      </c>
      <c r="D257" t="s">
        <v>71</v>
      </c>
      <c r="E257" t="s">
        <v>47</v>
      </c>
      <c r="F257" t="s">
        <v>60</v>
      </c>
      <c r="G257">
        <v>6</v>
      </c>
      <c r="H257" s="7">
        <v>2500</v>
      </c>
      <c r="I257" s="8">
        <v>0.05</v>
      </c>
      <c r="J257" s="7">
        <v>14250</v>
      </c>
      <c r="K257" s="7">
        <v>1890.3</v>
      </c>
      <c r="L257" t="s">
        <v>68</v>
      </c>
      <c r="M257" t="s">
        <v>44</v>
      </c>
      <c r="N257" s="9">
        <f>SalesData[[#This Row],[Profit]]/SalesData[[#This Row],[Sales]]</f>
        <v>0.13265263157894736</v>
      </c>
    </row>
    <row r="258" spans="1:14">
      <c r="A258" t="s">
        <v>440</v>
      </c>
      <c r="B258" s="6">
        <v>45867</v>
      </c>
      <c r="C258" t="s">
        <v>77</v>
      </c>
      <c r="D258" t="s">
        <v>71</v>
      </c>
      <c r="E258" t="s">
        <v>41</v>
      </c>
      <c r="F258" t="s">
        <v>42</v>
      </c>
      <c r="G258">
        <v>3</v>
      </c>
      <c r="H258" s="7">
        <v>120</v>
      </c>
      <c r="I258" s="8">
        <v>0.05</v>
      </c>
      <c r="J258" s="7">
        <v>342</v>
      </c>
      <c r="K258" s="7">
        <v>60.51</v>
      </c>
      <c r="L258" t="s">
        <v>57</v>
      </c>
      <c r="M258" t="s">
        <v>44</v>
      </c>
      <c r="N258" s="9">
        <f>SalesData[[#This Row],[Profit]]/SalesData[[#This Row],[Sales]]</f>
        <v>0.17692982456140349</v>
      </c>
    </row>
    <row r="259" spans="1:14">
      <c r="A259" t="s">
        <v>441</v>
      </c>
      <c r="B259" s="6">
        <v>45887</v>
      </c>
      <c r="C259" t="s">
        <v>113</v>
      </c>
      <c r="D259" t="s">
        <v>52</v>
      </c>
      <c r="E259" t="s">
        <v>66</v>
      </c>
      <c r="F259" t="s">
        <v>135</v>
      </c>
      <c r="G259">
        <v>3</v>
      </c>
      <c r="H259" s="7">
        <v>900</v>
      </c>
      <c r="I259" s="8">
        <v>0.2</v>
      </c>
      <c r="J259" s="7">
        <v>2160</v>
      </c>
      <c r="K259" s="7">
        <v>226.82</v>
      </c>
      <c r="L259" t="s">
        <v>49</v>
      </c>
      <c r="M259" t="s">
        <v>44</v>
      </c>
      <c r="N259" s="9">
        <f>SalesData[[#This Row],[Profit]]/SalesData[[#This Row],[Sales]]</f>
        <v>0.10500925925925926</v>
      </c>
    </row>
    <row r="260" spans="1:14">
      <c r="A260" t="s">
        <v>442</v>
      </c>
      <c r="B260" s="6">
        <v>45785</v>
      </c>
      <c r="C260" t="s">
        <v>443</v>
      </c>
      <c r="D260" t="s">
        <v>71</v>
      </c>
      <c r="E260" t="s">
        <v>47</v>
      </c>
      <c r="F260" t="s">
        <v>60</v>
      </c>
      <c r="G260">
        <v>3</v>
      </c>
      <c r="H260" s="7">
        <v>2500</v>
      </c>
      <c r="I260" s="8">
        <v>0.15</v>
      </c>
      <c r="J260" s="7">
        <v>6375</v>
      </c>
      <c r="K260" s="7">
        <v>283.38</v>
      </c>
      <c r="L260" t="s">
        <v>49</v>
      </c>
      <c r="M260" t="s">
        <v>75</v>
      </c>
      <c r="N260" s="9">
        <f>SalesData[[#This Row],[Profit]]/SalesData[[#This Row],[Sales]]</f>
        <v>4.445176470588235E-2</v>
      </c>
    </row>
    <row r="261" spans="1:14">
      <c r="A261" t="s">
        <v>444</v>
      </c>
      <c r="B261" s="6">
        <v>45771</v>
      </c>
      <c r="C261" t="s">
        <v>139</v>
      </c>
      <c r="D261" t="s">
        <v>71</v>
      </c>
      <c r="E261" t="s">
        <v>66</v>
      </c>
      <c r="F261" t="s">
        <v>67</v>
      </c>
      <c r="G261">
        <v>4</v>
      </c>
      <c r="H261" s="7">
        <v>2200</v>
      </c>
      <c r="I261" s="8">
        <v>0.15</v>
      </c>
      <c r="J261" s="7">
        <v>7480</v>
      </c>
      <c r="K261" s="7">
        <v>1130.04</v>
      </c>
      <c r="L261" t="s">
        <v>43</v>
      </c>
      <c r="M261" t="s">
        <v>44</v>
      </c>
      <c r="N261" s="9">
        <f>SalesData[[#This Row],[Profit]]/SalesData[[#This Row],[Sales]]</f>
        <v>0.15107486631016043</v>
      </c>
    </row>
    <row r="262" spans="1:14">
      <c r="A262" t="s">
        <v>445</v>
      </c>
      <c r="B262" s="6">
        <v>45834</v>
      </c>
      <c r="C262" t="s">
        <v>267</v>
      </c>
      <c r="D262" t="s">
        <v>52</v>
      </c>
      <c r="E262" t="s">
        <v>47</v>
      </c>
      <c r="F262" t="s">
        <v>88</v>
      </c>
      <c r="G262">
        <v>4</v>
      </c>
      <c r="H262" s="7">
        <v>1800</v>
      </c>
      <c r="I262" s="8">
        <v>0</v>
      </c>
      <c r="J262" s="7">
        <v>7200</v>
      </c>
      <c r="K262" s="7">
        <v>709.71</v>
      </c>
      <c r="L262" t="s">
        <v>74</v>
      </c>
      <c r="M262" t="s">
        <v>75</v>
      </c>
      <c r="N262" s="9">
        <f>SalesData[[#This Row],[Profit]]/SalesData[[#This Row],[Sales]]</f>
        <v>9.8570833333333344E-2</v>
      </c>
    </row>
    <row r="263" spans="1:14">
      <c r="A263" t="s">
        <v>446</v>
      </c>
      <c r="B263" s="6">
        <v>45817</v>
      </c>
      <c r="C263" t="s">
        <v>372</v>
      </c>
      <c r="D263" t="s">
        <v>52</v>
      </c>
      <c r="E263" t="s">
        <v>53</v>
      </c>
      <c r="F263" t="s">
        <v>54</v>
      </c>
      <c r="G263">
        <v>3</v>
      </c>
      <c r="H263" s="7">
        <v>7800</v>
      </c>
      <c r="I263" s="8">
        <v>0.15</v>
      </c>
      <c r="J263" s="7">
        <v>19890</v>
      </c>
      <c r="K263" s="7">
        <v>857.65</v>
      </c>
      <c r="L263" t="s">
        <v>57</v>
      </c>
      <c r="M263" t="s">
        <v>75</v>
      </c>
      <c r="N263" s="9">
        <f>SalesData[[#This Row],[Profit]]/SalesData[[#This Row],[Sales]]</f>
        <v>4.3119658119658122E-2</v>
      </c>
    </row>
    <row r="264" spans="1:14">
      <c r="A264" t="s">
        <v>447</v>
      </c>
      <c r="B264" s="6">
        <v>45692</v>
      </c>
      <c r="C264" t="s">
        <v>396</v>
      </c>
      <c r="D264" t="s">
        <v>40</v>
      </c>
      <c r="E264" t="s">
        <v>47</v>
      </c>
      <c r="F264" t="s">
        <v>48</v>
      </c>
      <c r="G264">
        <v>3</v>
      </c>
      <c r="H264" s="7">
        <v>52000</v>
      </c>
      <c r="I264" s="8">
        <v>0</v>
      </c>
      <c r="J264" s="7">
        <v>156000</v>
      </c>
      <c r="K264" s="7">
        <v>29381.4</v>
      </c>
      <c r="L264" t="s">
        <v>74</v>
      </c>
      <c r="M264" t="s">
        <v>44</v>
      </c>
      <c r="N264" s="9">
        <f>SalesData[[#This Row],[Profit]]/SalesData[[#This Row],[Sales]]</f>
        <v>0.1883423076923077</v>
      </c>
    </row>
    <row r="265" spans="1:14">
      <c r="A265" t="s">
        <v>448</v>
      </c>
      <c r="B265" s="6">
        <v>45922</v>
      </c>
      <c r="C265" t="s">
        <v>327</v>
      </c>
      <c r="D265" t="s">
        <v>71</v>
      </c>
      <c r="E265" t="s">
        <v>41</v>
      </c>
      <c r="F265" t="s">
        <v>91</v>
      </c>
      <c r="G265">
        <v>4</v>
      </c>
      <c r="H265" s="7">
        <v>220</v>
      </c>
      <c r="I265" s="8">
        <v>0.05</v>
      </c>
      <c r="J265" s="7">
        <v>836</v>
      </c>
      <c r="K265" s="7">
        <v>158.96</v>
      </c>
      <c r="L265" t="s">
        <v>74</v>
      </c>
      <c r="M265" t="s">
        <v>44</v>
      </c>
      <c r="N265" s="9">
        <f>SalesData[[#This Row],[Profit]]/SalesData[[#This Row],[Sales]]</f>
        <v>0.19014354066985648</v>
      </c>
    </row>
    <row r="266" spans="1:14">
      <c r="A266" t="s">
        <v>449</v>
      </c>
      <c r="B266" s="6">
        <v>45985</v>
      </c>
      <c r="C266" t="s">
        <v>148</v>
      </c>
      <c r="D266" t="s">
        <v>52</v>
      </c>
      <c r="E266" t="s">
        <v>47</v>
      </c>
      <c r="F266" t="s">
        <v>98</v>
      </c>
      <c r="G266">
        <v>4</v>
      </c>
      <c r="H266" s="7">
        <v>14500</v>
      </c>
      <c r="I266" s="8">
        <v>0.2</v>
      </c>
      <c r="J266" s="7">
        <v>46400</v>
      </c>
      <c r="K266" s="7">
        <v>3653</v>
      </c>
      <c r="L266" t="s">
        <v>49</v>
      </c>
      <c r="M266" t="s">
        <v>44</v>
      </c>
      <c r="N266" s="9">
        <f>SalesData[[#This Row],[Profit]]/SalesData[[#This Row],[Sales]]</f>
        <v>7.8728448275862076E-2</v>
      </c>
    </row>
    <row r="267" spans="1:14">
      <c r="A267" t="s">
        <v>450</v>
      </c>
      <c r="B267" s="6">
        <v>45763</v>
      </c>
      <c r="C267" t="s">
        <v>451</v>
      </c>
      <c r="D267" t="s">
        <v>40</v>
      </c>
      <c r="E267" t="s">
        <v>47</v>
      </c>
      <c r="F267" t="s">
        <v>98</v>
      </c>
      <c r="G267">
        <v>3</v>
      </c>
      <c r="H267" s="7">
        <v>14500</v>
      </c>
      <c r="I267" s="8">
        <v>0.1</v>
      </c>
      <c r="J267" s="7">
        <v>39150</v>
      </c>
      <c r="K267" s="7">
        <v>2996.22</v>
      </c>
      <c r="L267" t="s">
        <v>49</v>
      </c>
      <c r="M267" t="s">
        <v>75</v>
      </c>
      <c r="N267" s="9">
        <f>SalesData[[#This Row],[Profit]]/SalesData[[#This Row],[Sales]]</f>
        <v>7.653180076628352E-2</v>
      </c>
    </row>
    <row r="268" spans="1:14">
      <c r="A268" t="s">
        <v>452</v>
      </c>
      <c r="B268" s="6">
        <v>46001</v>
      </c>
      <c r="C268" t="s">
        <v>453</v>
      </c>
      <c r="D268" t="s">
        <v>56</v>
      </c>
      <c r="E268" t="s">
        <v>66</v>
      </c>
      <c r="F268" t="s">
        <v>149</v>
      </c>
      <c r="G268">
        <v>5</v>
      </c>
      <c r="H268" s="7">
        <v>1800</v>
      </c>
      <c r="I268" s="8">
        <v>0</v>
      </c>
      <c r="J268" s="7">
        <v>9000</v>
      </c>
      <c r="K268" s="7">
        <v>1221.01</v>
      </c>
      <c r="L268" t="s">
        <v>57</v>
      </c>
      <c r="M268" t="s">
        <v>44</v>
      </c>
      <c r="N268" s="9">
        <f>SalesData[[#This Row],[Profit]]/SalesData[[#This Row],[Sales]]</f>
        <v>0.13566777777777778</v>
      </c>
    </row>
    <row r="269" spans="1:14">
      <c r="A269" t="s">
        <v>454</v>
      </c>
      <c r="B269" s="6">
        <v>46002</v>
      </c>
      <c r="C269" t="s">
        <v>396</v>
      </c>
      <c r="D269" t="s">
        <v>40</v>
      </c>
      <c r="E269" t="s">
        <v>53</v>
      </c>
      <c r="F269" t="s">
        <v>119</v>
      </c>
      <c r="G269">
        <v>1</v>
      </c>
      <c r="H269" s="7">
        <v>6500</v>
      </c>
      <c r="I269" s="8">
        <v>0.05</v>
      </c>
      <c r="J269" s="7">
        <v>6175</v>
      </c>
      <c r="K269" s="7">
        <v>687.65</v>
      </c>
      <c r="L269" t="s">
        <v>74</v>
      </c>
      <c r="M269" t="s">
        <v>75</v>
      </c>
      <c r="N269" s="9">
        <f>SalesData[[#This Row],[Profit]]/SalesData[[#This Row],[Sales]]</f>
        <v>0.11136032388663968</v>
      </c>
    </row>
    <row r="270" spans="1:14">
      <c r="A270" t="s">
        <v>455</v>
      </c>
      <c r="B270" s="6">
        <v>46013</v>
      </c>
      <c r="C270" t="s">
        <v>242</v>
      </c>
      <c r="D270" t="s">
        <v>52</v>
      </c>
      <c r="E270" t="s">
        <v>66</v>
      </c>
      <c r="F270" t="s">
        <v>78</v>
      </c>
      <c r="G270">
        <v>5</v>
      </c>
      <c r="H270" s="7">
        <v>700</v>
      </c>
      <c r="I270" s="8">
        <v>0.15</v>
      </c>
      <c r="J270" s="7">
        <v>2975</v>
      </c>
      <c r="K270" s="7">
        <v>283.18</v>
      </c>
      <c r="L270" t="s">
        <v>57</v>
      </c>
      <c r="M270" t="s">
        <v>44</v>
      </c>
      <c r="N270" s="9">
        <f>SalesData[[#This Row],[Profit]]/SalesData[[#This Row],[Sales]]</f>
        <v>9.5186554621848746E-2</v>
      </c>
    </row>
    <row r="271" spans="1:14">
      <c r="A271" t="s">
        <v>456</v>
      </c>
      <c r="B271" s="6">
        <v>45942</v>
      </c>
      <c r="C271" t="s">
        <v>95</v>
      </c>
      <c r="D271" t="s">
        <v>52</v>
      </c>
      <c r="E271" t="s">
        <v>41</v>
      </c>
      <c r="F271" t="s">
        <v>42</v>
      </c>
      <c r="G271">
        <v>2</v>
      </c>
      <c r="H271" s="7">
        <v>120</v>
      </c>
      <c r="I271" s="8">
        <v>0.1</v>
      </c>
      <c r="J271" s="7">
        <v>216</v>
      </c>
      <c r="K271" s="7">
        <v>38.82</v>
      </c>
      <c r="L271" t="s">
        <v>43</v>
      </c>
      <c r="M271" t="s">
        <v>44</v>
      </c>
      <c r="N271" s="9">
        <f>SalesData[[#This Row],[Profit]]/SalesData[[#This Row],[Sales]]</f>
        <v>0.17972222222222223</v>
      </c>
    </row>
    <row r="272" spans="1:14">
      <c r="A272" t="s">
        <v>457</v>
      </c>
      <c r="B272" s="6">
        <v>45841</v>
      </c>
      <c r="C272" t="s">
        <v>84</v>
      </c>
      <c r="D272" t="s">
        <v>52</v>
      </c>
      <c r="E272" t="s">
        <v>53</v>
      </c>
      <c r="F272" t="s">
        <v>162</v>
      </c>
      <c r="G272">
        <v>4</v>
      </c>
      <c r="H272" s="7">
        <v>12000</v>
      </c>
      <c r="I272" s="8">
        <v>0.2</v>
      </c>
      <c r="J272" s="7">
        <v>38400</v>
      </c>
      <c r="K272" s="7">
        <v>3489.41</v>
      </c>
      <c r="L272" t="s">
        <v>57</v>
      </c>
      <c r="M272" t="s">
        <v>75</v>
      </c>
      <c r="N272" s="9">
        <f>SalesData[[#This Row],[Profit]]/SalesData[[#This Row],[Sales]]</f>
        <v>9.0870052083333333E-2</v>
      </c>
    </row>
    <row r="273" spans="1:14">
      <c r="A273" t="s">
        <v>458</v>
      </c>
      <c r="B273" s="6">
        <v>46008</v>
      </c>
      <c r="C273" t="s">
        <v>453</v>
      </c>
      <c r="D273" t="s">
        <v>52</v>
      </c>
      <c r="E273" t="s">
        <v>66</v>
      </c>
      <c r="F273" t="s">
        <v>149</v>
      </c>
      <c r="G273">
        <v>2</v>
      </c>
      <c r="H273" s="7">
        <v>1800</v>
      </c>
      <c r="I273" s="8">
        <v>0</v>
      </c>
      <c r="J273" s="7">
        <v>3600</v>
      </c>
      <c r="K273" s="7">
        <v>613.66999999999996</v>
      </c>
      <c r="L273" t="s">
        <v>74</v>
      </c>
      <c r="M273" t="s">
        <v>75</v>
      </c>
      <c r="N273" s="9">
        <f>SalesData[[#This Row],[Profit]]/SalesData[[#This Row],[Sales]]</f>
        <v>0.17046388888888889</v>
      </c>
    </row>
    <row r="274" spans="1:14">
      <c r="A274" t="s">
        <v>459</v>
      </c>
      <c r="B274" s="6">
        <v>45674</v>
      </c>
      <c r="C274" t="s">
        <v>227</v>
      </c>
      <c r="D274" t="s">
        <v>71</v>
      </c>
      <c r="E274" t="s">
        <v>41</v>
      </c>
      <c r="F274" t="s">
        <v>42</v>
      </c>
      <c r="G274">
        <v>4</v>
      </c>
      <c r="H274" s="7">
        <v>120</v>
      </c>
      <c r="I274" s="8">
        <v>0.2</v>
      </c>
      <c r="J274" s="7">
        <v>384</v>
      </c>
      <c r="K274" s="7">
        <v>49.46</v>
      </c>
      <c r="L274" t="s">
        <v>57</v>
      </c>
      <c r="M274" t="s">
        <v>44</v>
      </c>
      <c r="N274" s="9">
        <f>SalesData[[#This Row],[Profit]]/SalesData[[#This Row],[Sales]]</f>
        <v>0.12880208333333334</v>
      </c>
    </row>
    <row r="275" spans="1:14">
      <c r="A275" t="s">
        <v>460</v>
      </c>
      <c r="B275" s="6">
        <v>45951</v>
      </c>
      <c r="C275" t="s">
        <v>123</v>
      </c>
      <c r="D275" t="s">
        <v>56</v>
      </c>
      <c r="E275" t="s">
        <v>41</v>
      </c>
      <c r="F275" t="s">
        <v>121</v>
      </c>
      <c r="G275">
        <v>6</v>
      </c>
      <c r="H275" s="7">
        <v>450</v>
      </c>
      <c r="I275" s="8">
        <v>0.15</v>
      </c>
      <c r="J275" s="7">
        <v>2295</v>
      </c>
      <c r="K275" s="7">
        <v>263.73</v>
      </c>
      <c r="L275" t="s">
        <v>57</v>
      </c>
      <c r="M275" t="s">
        <v>44</v>
      </c>
      <c r="N275" s="9">
        <f>SalesData[[#This Row],[Profit]]/SalesData[[#This Row],[Sales]]</f>
        <v>0.11491503267973857</v>
      </c>
    </row>
    <row r="276" spans="1:14">
      <c r="A276" t="s">
        <v>461</v>
      </c>
      <c r="B276" s="6">
        <v>45992</v>
      </c>
      <c r="C276" t="s">
        <v>115</v>
      </c>
      <c r="D276" t="s">
        <v>56</v>
      </c>
      <c r="E276" t="s">
        <v>47</v>
      </c>
      <c r="F276" t="s">
        <v>60</v>
      </c>
      <c r="G276">
        <v>3</v>
      </c>
      <c r="H276" s="7">
        <v>2500</v>
      </c>
      <c r="I276" s="8">
        <v>0.1</v>
      </c>
      <c r="J276" s="7">
        <v>6750</v>
      </c>
      <c r="K276" s="7">
        <v>1234.93</v>
      </c>
      <c r="L276" t="s">
        <v>49</v>
      </c>
      <c r="M276" t="s">
        <v>75</v>
      </c>
      <c r="N276" s="9">
        <f>SalesData[[#This Row],[Profit]]/SalesData[[#This Row],[Sales]]</f>
        <v>0.18295259259259261</v>
      </c>
    </row>
    <row r="277" spans="1:14">
      <c r="A277" t="s">
        <v>581</v>
      </c>
      <c r="B277" s="6">
        <v>45718</v>
      </c>
      <c r="C277" t="s">
        <v>102</v>
      </c>
      <c r="D277" t="s">
        <v>71</v>
      </c>
      <c r="E277" t="s">
        <v>41</v>
      </c>
      <c r="F277" t="s">
        <v>91</v>
      </c>
      <c r="G277">
        <v>2</v>
      </c>
      <c r="H277" s="7">
        <v>220</v>
      </c>
      <c r="I277" s="8">
        <v>0.2</v>
      </c>
      <c r="J277" s="7">
        <v>352</v>
      </c>
      <c r="K277" s="7">
        <v>11.36</v>
      </c>
      <c r="L277" t="s">
        <v>74</v>
      </c>
      <c r="M277" t="s">
        <v>44</v>
      </c>
      <c r="N277" s="9">
        <f>SalesData[[#This Row],[Profit]]/SalesData[[#This Row],[Sales]]</f>
        <v>3.2272727272727272E-2</v>
      </c>
    </row>
    <row r="278" spans="1:14">
      <c r="A278" t="s">
        <v>462</v>
      </c>
      <c r="B278" s="6">
        <v>45688</v>
      </c>
      <c r="C278" t="s">
        <v>294</v>
      </c>
      <c r="D278" t="s">
        <v>56</v>
      </c>
      <c r="E278" t="s">
        <v>53</v>
      </c>
      <c r="F278" t="s">
        <v>119</v>
      </c>
      <c r="G278">
        <v>6</v>
      </c>
      <c r="H278" s="7">
        <v>6500</v>
      </c>
      <c r="I278" s="8">
        <v>0.1</v>
      </c>
      <c r="J278" s="7">
        <v>35100</v>
      </c>
      <c r="K278" s="7">
        <v>3204.4</v>
      </c>
      <c r="L278" t="s">
        <v>68</v>
      </c>
      <c r="M278" t="s">
        <v>44</v>
      </c>
      <c r="N278" s="9">
        <f>SalesData[[#This Row],[Profit]]/SalesData[[#This Row],[Sales]]</f>
        <v>9.1293447293447294E-2</v>
      </c>
    </row>
    <row r="279" spans="1:14">
      <c r="A279" t="s">
        <v>463</v>
      </c>
      <c r="B279" s="6">
        <v>45727</v>
      </c>
      <c r="C279" t="s">
        <v>345</v>
      </c>
      <c r="D279" t="s">
        <v>40</v>
      </c>
      <c r="E279" t="s">
        <v>41</v>
      </c>
      <c r="F279" t="s">
        <v>42</v>
      </c>
      <c r="G279">
        <v>6</v>
      </c>
      <c r="H279" s="7">
        <v>120</v>
      </c>
      <c r="I279" s="8">
        <v>0.05</v>
      </c>
      <c r="J279" s="7">
        <v>684</v>
      </c>
      <c r="K279" s="7">
        <v>70.069999999999993</v>
      </c>
      <c r="L279" t="s">
        <v>68</v>
      </c>
      <c r="M279" t="s">
        <v>44</v>
      </c>
      <c r="N279" s="9">
        <f>SalesData[[#This Row],[Profit]]/SalesData[[#This Row],[Sales]]</f>
        <v>0.10244152046783625</v>
      </c>
    </row>
    <row r="280" spans="1:14">
      <c r="A280" t="s">
        <v>464</v>
      </c>
      <c r="B280" s="6">
        <v>46004</v>
      </c>
      <c r="C280" t="s">
        <v>465</v>
      </c>
      <c r="D280" t="s">
        <v>52</v>
      </c>
      <c r="E280" t="s">
        <v>53</v>
      </c>
      <c r="F280" t="s">
        <v>119</v>
      </c>
      <c r="G280">
        <v>6</v>
      </c>
      <c r="H280" s="7">
        <v>6500</v>
      </c>
      <c r="I280" s="8">
        <v>0.15</v>
      </c>
      <c r="J280" s="7">
        <v>33150</v>
      </c>
      <c r="K280" s="7">
        <v>2901.54</v>
      </c>
      <c r="L280" t="s">
        <v>49</v>
      </c>
      <c r="M280" t="s">
        <v>44</v>
      </c>
      <c r="N280" s="9">
        <f>SalesData[[#This Row],[Profit]]/SalesData[[#This Row],[Sales]]</f>
        <v>8.7527601809954753E-2</v>
      </c>
    </row>
    <row r="281" spans="1:14">
      <c r="A281" t="s">
        <v>466</v>
      </c>
      <c r="B281" s="6">
        <v>45864</v>
      </c>
      <c r="C281" t="s">
        <v>151</v>
      </c>
      <c r="D281" t="s">
        <v>56</v>
      </c>
      <c r="E281" t="s">
        <v>41</v>
      </c>
      <c r="F281" t="s">
        <v>91</v>
      </c>
      <c r="G281">
        <v>4</v>
      </c>
      <c r="H281" s="7">
        <v>220</v>
      </c>
      <c r="I281" s="8">
        <v>0.1</v>
      </c>
      <c r="J281" s="7">
        <v>792</v>
      </c>
      <c r="K281" s="7">
        <v>109.39</v>
      </c>
      <c r="L281" t="s">
        <v>49</v>
      </c>
      <c r="M281" t="s">
        <v>75</v>
      </c>
      <c r="N281" s="9">
        <f>SalesData[[#This Row],[Profit]]/SalesData[[#This Row],[Sales]]</f>
        <v>0.13811868686868686</v>
      </c>
    </row>
    <row r="282" spans="1:14">
      <c r="A282" t="s">
        <v>467</v>
      </c>
      <c r="B282" s="6">
        <v>45983</v>
      </c>
      <c r="C282" t="s">
        <v>410</v>
      </c>
      <c r="D282" t="s">
        <v>40</v>
      </c>
      <c r="E282" t="s">
        <v>66</v>
      </c>
      <c r="F282" t="s">
        <v>78</v>
      </c>
      <c r="G282">
        <v>4</v>
      </c>
      <c r="H282" s="7">
        <v>700</v>
      </c>
      <c r="I282" s="8">
        <v>0.05</v>
      </c>
      <c r="J282" s="7">
        <v>2660</v>
      </c>
      <c r="K282" s="7">
        <v>376.8</v>
      </c>
      <c r="L282" t="s">
        <v>68</v>
      </c>
      <c r="M282" t="s">
        <v>75</v>
      </c>
      <c r="N282" s="9">
        <f>SalesData[[#This Row],[Profit]]/SalesData[[#This Row],[Sales]]</f>
        <v>0.14165413533834587</v>
      </c>
    </row>
    <row r="283" spans="1:14">
      <c r="A283" t="s">
        <v>468</v>
      </c>
      <c r="B283" s="6">
        <v>45830</v>
      </c>
      <c r="C283" t="s">
        <v>127</v>
      </c>
      <c r="D283" t="s">
        <v>52</v>
      </c>
      <c r="E283" t="s">
        <v>41</v>
      </c>
      <c r="F283" t="s">
        <v>121</v>
      </c>
      <c r="G283">
        <v>1</v>
      </c>
      <c r="H283" s="7">
        <v>450</v>
      </c>
      <c r="I283" s="8">
        <v>0</v>
      </c>
      <c r="J283" s="7">
        <v>450</v>
      </c>
      <c r="K283" s="7">
        <v>81.08</v>
      </c>
      <c r="L283" t="s">
        <v>57</v>
      </c>
      <c r="M283" t="s">
        <v>44</v>
      </c>
      <c r="N283" s="9">
        <f>SalesData[[#This Row],[Profit]]/SalesData[[#This Row],[Sales]]</f>
        <v>0.18017777777777777</v>
      </c>
    </row>
    <row r="284" spans="1:14">
      <c r="A284" t="s">
        <v>469</v>
      </c>
      <c r="B284" s="6">
        <v>45721</v>
      </c>
      <c r="C284" t="s">
        <v>82</v>
      </c>
      <c r="D284" t="s">
        <v>52</v>
      </c>
      <c r="E284" t="s">
        <v>66</v>
      </c>
      <c r="F284" t="s">
        <v>135</v>
      </c>
      <c r="G284">
        <v>4</v>
      </c>
      <c r="H284" s="7">
        <v>900</v>
      </c>
      <c r="I284" s="8">
        <v>0.05</v>
      </c>
      <c r="J284" s="7">
        <v>3420</v>
      </c>
      <c r="K284" s="7">
        <v>758.59</v>
      </c>
      <c r="L284" t="s">
        <v>74</v>
      </c>
      <c r="M284" t="s">
        <v>75</v>
      </c>
      <c r="N284" s="9">
        <f>SalesData[[#This Row],[Profit]]/SalesData[[#This Row],[Sales]]</f>
        <v>0.22180994152046785</v>
      </c>
    </row>
    <row r="285" spans="1:14">
      <c r="A285" t="s">
        <v>470</v>
      </c>
      <c r="B285" s="6">
        <v>45739</v>
      </c>
      <c r="C285" t="s">
        <v>227</v>
      </c>
      <c r="D285" t="s">
        <v>40</v>
      </c>
      <c r="E285" t="s">
        <v>41</v>
      </c>
      <c r="F285" t="s">
        <v>85</v>
      </c>
      <c r="G285">
        <v>1</v>
      </c>
      <c r="H285" s="7">
        <v>1600</v>
      </c>
      <c r="I285" s="8">
        <v>0.1</v>
      </c>
      <c r="J285" s="7">
        <v>1440</v>
      </c>
      <c r="K285" s="7">
        <v>217.9</v>
      </c>
      <c r="L285" t="s">
        <v>74</v>
      </c>
      <c r="M285" t="s">
        <v>44</v>
      </c>
      <c r="N285" s="9">
        <f>SalesData[[#This Row],[Profit]]/SalesData[[#This Row],[Sales]]</f>
        <v>0.15131944444444445</v>
      </c>
    </row>
    <row r="286" spans="1:14">
      <c r="A286" t="s">
        <v>471</v>
      </c>
      <c r="B286" s="6">
        <v>45860</v>
      </c>
      <c r="C286" t="s">
        <v>283</v>
      </c>
      <c r="D286" t="s">
        <v>71</v>
      </c>
      <c r="E286" t="s">
        <v>66</v>
      </c>
      <c r="F286" t="s">
        <v>135</v>
      </c>
      <c r="G286">
        <v>6</v>
      </c>
      <c r="H286" s="7">
        <v>900</v>
      </c>
      <c r="I286" s="8">
        <v>0</v>
      </c>
      <c r="J286" s="7">
        <v>5400</v>
      </c>
      <c r="K286" s="7">
        <v>432.94</v>
      </c>
      <c r="L286" t="s">
        <v>57</v>
      </c>
      <c r="M286" t="s">
        <v>44</v>
      </c>
      <c r="N286" s="9">
        <f>SalesData[[#This Row],[Profit]]/SalesData[[#This Row],[Sales]]</f>
        <v>8.0174074074074078E-2</v>
      </c>
    </row>
    <row r="287" spans="1:14">
      <c r="A287" t="s">
        <v>472</v>
      </c>
      <c r="B287" s="6">
        <v>45725</v>
      </c>
      <c r="C287" t="s">
        <v>348</v>
      </c>
      <c r="D287" t="s">
        <v>52</v>
      </c>
      <c r="E287" t="s">
        <v>47</v>
      </c>
      <c r="F287" t="s">
        <v>48</v>
      </c>
      <c r="G287">
        <v>6</v>
      </c>
      <c r="H287" s="7">
        <v>52000</v>
      </c>
      <c r="I287" s="8">
        <v>0.1</v>
      </c>
      <c r="J287" s="7">
        <v>280800</v>
      </c>
      <c r="K287" s="7">
        <v>49347.07</v>
      </c>
      <c r="L287" t="s">
        <v>57</v>
      </c>
      <c r="M287" t="s">
        <v>44</v>
      </c>
      <c r="N287" s="9">
        <f>SalesData[[#This Row],[Profit]]/SalesData[[#This Row],[Sales]]</f>
        <v>0.17573742877492876</v>
      </c>
    </row>
    <row r="288" spans="1:14">
      <c r="A288" t="s">
        <v>473</v>
      </c>
      <c r="B288" s="6">
        <v>45902</v>
      </c>
      <c r="C288" t="s">
        <v>209</v>
      </c>
      <c r="D288" t="s">
        <v>71</v>
      </c>
      <c r="E288" t="s">
        <v>66</v>
      </c>
      <c r="F288" t="s">
        <v>135</v>
      </c>
      <c r="G288">
        <v>6</v>
      </c>
      <c r="H288" s="7">
        <v>900</v>
      </c>
      <c r="I288" s="8">
        <v>0</v>
      </c>
      <c r="J288" s="7">
        <v>5400</v>
      </c>
      <c r="K288" s="7">
        <v>521.16999999999996</v>
      </c>
      <c r="L288" t="s">
        <v>68</v>
      </c>
      <c r="M288" t="s">
        <v>75</v>
      </c>
      <c r="N288" s="9">
        <f>SalesData[[#This Row],[Profit]]/SalesData[[#This Row],[Sales]]</f>
        <v>9.6512962962962953E-2</v>
      </c>
    </row>
    <row r="289" spans="1:14">
      <c r="A289" t="s">
        <v>474</v>
      </c>
      <c r="B289" s="6">
        <v>45728</v>
      </c>
      <c r="C289" t="s">
        <v>65</v>
      </c>
      <c r="D289" t="s">
        <v>71</v>
      </c>
      <c r="E289" t="s">
        <v>53</v>
      </c>
      <c r="F289" t="s">
        <v>63</v>
      </c>
      <c r="G289">
        <v>5</v>
      </c>
      <c r="H289" s="7">
        <v>8500</v>
      </c>
      <c r="I289" s="8">
        <v>0.2</v>
      </c>
      <c r="J289" s="7">
        <v>34000</v>
      </c>
      <c r="K289" s="7">
        <v>1020</v>
      </c>
      <c r="L289" t="s">
        <v>74</v>
      </c>
      <c r="M289" t="s">
        <v>75</v>
      </c>
      <c r="N289" s="9">
        <f>SalesData[[#This Row],[Profit]]/SalesData[[#This Row],[Sales]]</f>
        <v>0.03</v>
      </c>
    </row>
    <row r="290" spans="1:14">
      <c r="A290" t="s">
        <v>475</v>
      </c>
      <c r="B290" s="6">
        <v>45837</v>
      </c>
      <c r="C290" t="s">
        <v>186</v>
      </c>
      <c r="D290" t="s">
        <v>71</v>
      </c>
      <c r="E290" t="s">
        <v>66</v>
      </c>
      <c r="F290" t="s">
        <v>149</v>
      </c>
      <c r="G290">
        <v>2</v>
      </c>
      <c r="H290" s="7">
        <v>1800</v>
      </c>
      <c r="I290" s="8">
        <v>0</v>
      </c>
      <c r="J290" s="7">
        <v>3600</v>
      </c>
      <c r="K290" s="7">
        <v>804.44</v>
      </c>
      <c r="L290" t="s">
        <v>74</v>
      </c>
      <c r="M290" t="s">
        <v>44</v>
      </c>
      <c r="N290" s="9">
        <f>SalesData[[#This Row],[Profit]]/SalesData[[#This Row],[Sales]]</f>
        <v>0.22345555555555557</v>
      </c>
    </row>
    <row r="291" spans="1:14">
      <c r="A291" t="s">
        <v>476</v>
      </c>
      <c r="B291" s="6">
        <v>45959</v>
      </c>
      <c r="C291" t="s">
        <v>154</v>
      </c>
      <c r="D291" t="s">
        <v>56</v>
      </c>
      <c r="E291" t="s">
        <v>66</v>
      </c>
      <c r="F291" t="s">
        <v>67</v>
      </c>
      <c r="G291">
        <v>2</v>
      </c>
      <c r="H291" s="7">
        <v>2200</v>
      </c>
      <c r="I291" s="8">
        <v>0.05</v>
      </c>
      <c r="J291" s="7">
        <v>4180</v>
      </c>
      <c r="K291" s="7">
        <v>446.49</v>
      </c>
      <c r="L291" t="s">
        <v>49</v>
      </c>
      <c r="M291" t="s">
        <v>44</v>
      </c>
      <c r="N291" s="9">
        <f>SalesData[[#This Row],[Profit]]/SalesData[[#This Row],[Sales]]</f>
        <v>0.10681578947368421</v>
      </c>
    </row>
    <row r="292" spans="1:14">
      <c r="A292" t="s">
        <v>477</v>
      </c>
      <c r="B292" s="6">
        <v>45941</v>
      </c>
      <c r="C292" t="s">
        <v>478</v>
      </c>
      <c r="D292" t="s">
        <v>40</v>
      </c>
      <c r="E292" t="s">
        <v>41</v>
      </c>
      <c r="F292" t="s">
        <v>42</v>
      </c>
      <c r="G292">
        <v>5</v>
      </c>
      <c r="H292" s="7">
        <v>120</v>
      </c>
      <c r="I292" s="8">
        <v>0.2</v>
      </c>
      <c r="J292" s="7">
        <v>480</v>
      </c>
      <c r="K292" s="7">
        <v>43.93</v>
      </c>
      <c r="L292" t="s">
        <v>57</v>
      </c>
      <c r="M292" t="s">
        <v>75</v>
      </c>
      <c r="N292" s="9">
        <f>SalesData[[#This Row],[Profit]]/SalesData[[#This Row],[Sales]]</f>
        <v>9.1520833333333329E-2</v>
      </c>
    </row>
    <row r="293" spans="1:14">
      <c r="A293" t="s">
        <v>479</v>
      </c>
      <c r="B293" s="6">
        <v>45988</v>
      </c>
      <c r="C293" t="s">
        <v>480</v>
      </c>
      <c r="D293" t="s">
        <v>71</v>
      </c>
      <c r="E293" t="s">
        <v>66</v>
      </c>
      <c r="F293" t="s">
        <v>149</v>
      </c>
      <c r="G293">
        <v>1</v>
      </c>
      <c r="H293" s="7">
        <v>1800</v>
      </c>
      <c r="I293" s="8">
        <v>0.05</v>
      </c>
      <c r="J293" s="7">
        <v>1710</v>
      </c>
      <c r="K293" s="7">
        <v>243.56</v>
      </c>
      <c r="L293" t="s">
        <v>43</v>
      </c>
      <c r="M293" t="s">
        <v>44</v>
      </c>
      <c r="N293" s="9">
        <f>SalesData[[#This Row],[Profit]]/SalesData[[#This Row],[Sales]]</f>
        <v>0.14243274853801169</v>
      </c>
    </row>
    <row r="294" spans="1:14">
      <c r="A294" t="s">
        <v>481</v>
      </c>
      <c r="B294" s="6">
        <v>45928</v>
      </c>
      <c r="C294" t="s">
        <v>482</v>
      </c>
      <c r="D294" t="s">
        <v>56</v>
      </c>
      <c r="E294" t="s">
        <v>41</v>
      </c>
      <c r="F294" t="s">
        <v>42</v>
      </c>
      <c r="G294">
        <v>4</v>
      </c>
      <c r="H294" s="7">
        <v>120</v>
      </c>
      <c r="I294" s="8">
        <v>0.2</v>
      </c>
      <c r="J294" s="7">
        <v>384</v>
      </c>
      <c r="K294" s="7">
        <v>29.7</v>
      </c>
      <c r="L294" t="s">
        <v>43</v>
      </c>
      <c r="M294" t="s">
        <v>44</v>
      </c>
      <c r="N294" s="9">
        <f>SalesData[[#This Row],[Profit]]/SalesData[[#This Row],[Sales]]</f>
        <v>7.7343750000000003E-2</v>
      </c>
    </row>
    <row r="295" spans="1:14">
      <c r="A295" t="s">
        <v>483</v>
      </c>
      <c r="B295" s="6">
        <v>45899</v>
      </c>
      <c r="C295" t="s">
        <v>209</v>
      </c>
      <c r="D295" t="s">
        <v>40</v>
      </c>
      <c r="E295" t="s">
        <v>47</v>
      </c>
      <c r="F295" t="s">
        <v>48</v>
      </c>
      <c r="G295">
        <v>3</v>
      </c>
      <c r="H295" s="7">
        <v>52000</v>
      </c>
      <c r="I295" s="8">
        <v>0.05</v>
      </c>
      <c r="J295" s="7">
        <v>148200</v>
      </c>
      <c r="K295" s="7">
        <v>10206.870000000001</v>
      </c>
      <c r="L295" t="s">
        <v>49</v>
      </c>
      <c r="M295" t="s">
        <v>75</v>
      </c>
      <c r="N295" s="9">
        <f>SalesData[[#This Row],[Profit]]/SalesData[[#This Row],[Sales]]</f>
        <v>6.8872267206477739E-2</v>
      </c>
    </row>
    <row r="296" spans="1:14">
      <c r="A296" t="s">
        <v>484</v>
      </c>
      <c r="B296" s="6">
        <v>45917</v>
      </c>
      <c r="C296" t="s">
        <v>237</v>
      </c>
      <c r="D296" t="s">
        <v>52</v>
      </c>
      <c r="E296" t="s">
        <v>66</v>
      </c>
      <c r="F296" t="s">
        <v>149</v>
      </c>
      <c r="G296">
        <v>1</v>
      </c>
      <c r="H296" s="7">
        <v>1800</v>
      </c>
      <c r="I296" s="8">
        <v>0.2</v>
      </c>
      <c r="J296" s="7">
        <v>1440</v>
      </c>
      <c r="K296" s="7">
        <v>138.28</v>
      </c>
      <c r="L296" t="s">
        <v>74</v>
      </c>
      <c r="M296" t="s">
        <v>75</v>
      </c>
      <c r="N296" s="9">
        <f>SalesData[[#This Row],[Profit]]/SalesData[[#This Row],[Sales]]</f>
        <v>9.6027777777777781E-2</v>
      </c>
    </row>
    <row r="297" spans="1:14">
      <c r="A297" t="s">
        <v>486</v>
      </c>
      <c r="B297" s="6">
        <v>45700</v>
      </c>
      <c r="C297" t="s">
        <v>292</v>
      </c>
      <c r="D297" t="s">
        <v>40</v>
      </c>
      <c r="E297" t="s">
        <v>53</v>
      </c>
      <c r="F297" t="s">
        <v>162</v>
      </c>
      <c r="G297">
        <v>5</v>
      </c>
      <c r="H297" s="7">
        <v>12000</v>
      </c>
      <c r="I297" s="8">
        <v>0.1</v>
      </c>
      <c r="J297" s="7">
        <v>54000</v>
      </c>
      <c r="K297" s="7">
        <v>5805.92</v>
      </c>
      <c r="L297" t="s">
        <v>49</v>
      </c>
      <c r="M297" t="s">
        <v>75</v>
      </c>
      <c r="N297" s="9">
        <f>SalesData[[#This Row],[Profit]]/SalesData[[#This Row],[Sales]]</f>
        <v>0.10751703703703704</v>
      </c>
    </row>
    <row r="298" spans="1:14">
      <c r="A298" t="s">
        <v>487</v>
      </c>
      <c r="B298" s="6">
        <v>46015</v>
      </c>
      <c r="C298" t="s">
        <v>335</v>
      </c>
      <c r="D298" t="s">
        <v>71</v>
      </c>
      <c r="E298" t="s">
        <v>47</v>
      </c>
      <c r="F298" t="s">
        <v>98</v>
      </c>
      <c r="G298">
        <v>1</v>
      </c>
      <c r="H298" s="7">
        <v>14500</v>
      </c>
      <c r="I298" s="8">
        <v>0.15</v>
      </c>
      <c r="J298" s="7">
        <v>12325</v>
      </c>
      <c r="K298" s="7">
        <v>567.66</v>
      </c>
      <c r="L298" t="s">
        <v>43</v>
      </c>
      <c r="M298" t="s">
        <v>44</v>
      </c>
      <c r="N298" s="9">
        <f>SalesData[[#This Row],[Profit]]/SalesData[[#This Row],[Sales]]</f>
        <v>4.6057606490872205E-2</v>
      </c>
    </row>
    <row r="299" spans="1:14">
      <c r="A299" t="s">
        <v>488</v>
      </c>
      <c r="B299" s="6">
        <v>45816</v>
      </c>
      <c r="C299" t="s">
        <v>327</v>
      </c>
      <c r="D299" t="s">
        <v>40</v>
      </c>
      <c r="E299" t="s">
        <v>47</v>
      </c>
      <c r="F299" t="s">
        <v>98</v>
      </c>
      <c r="G299">
        <v>6</v>
      </c>
      <c r="H299" s="7">
        <v>14500</v>
      </c>
      <c r="I299" s="8">
        <v>0</v>
      </c>
      <c r="J299" s="7">
        <v>87000</v>
      </c>
      <c r="K299" s="7">
        <v>9240.5499999999993</v>
      </c>
      <c r="L299" t="s">
        <v>68</v>
      </c>
      <c r="M299" t="s">
        <v>75</v>
      </c>
      <c r="N299" s="9">
        <f>SalesData[[#This Row],[Profit]]/SalesData[[#This Row],[Sales]]</f>
        <v>0.1062132183908046</v>
      </c>
    </row>
    <row r="300" spans="1:14">
      <c r="A300" t="s">
        <v>489</v>
      </c>
      <c r="B300" s="6">
        <v>45743</v>
      </c>
      <c r="C300" t="s">
        <v>490</v>
      </c>
      <c r="D300" t="s">
        <v>71</v>
      </c>
      <c r="E300" t="s">
        <v>41</v>
      </c>
      <c r="F300" t="s">
        <v>121</v>
      </c>
      <c r="G300">
        <v>1</v>
      </c>
      <c r="H300" s="7">
        <v>450</v>
      </c>
      <c r="I300" s="8">
        <v>0.1</v>
      </c>
      <c r="J300" s="7">
        <v>405</v>
      </c>
      <c r="K300" s="7">
        <v>70.53</v>
      </c>
      <c r="L300" t="s">
        <v>68</v>
      </c>
      <c r="M300" t="s">
        <v>44</v>
      </c>
      <c r="N300" s="9">
        <f>SalesData[[#This Row],[Profit]]/SalesData[[#This Row],[Sales]]</f>
        <v>0.17414814814814816</v>
      </c>
    </row>
    <row r="301" spans="1:14">
      <c r="A301" t="s">
        <v>491</v>
      </c>
      <c r="B301" s="6">
        <v>45792</v>
      </c>
      <c r="C301" t="s">
        <v>296</v>
      </c>
      <c r="D301" t="s">
        <v>52</v>
      </c>
      <c r="E301" t="s">
        <v>66</v>
      </c>
      <c r="F301" t="s">
        <v>67</v>
      </c>
      <c r="G301">
        <v>1</v>
      </c>
      <c r="H301" s="7">
        <v>2200</v>
      </c>
      <c r="I301" s="8">
        <v>0.15</v>
      </c>
      <c r="J301" s="7">
        <v>1870</v>
      </c>
      <c r="K301" s="7">
        <v>308.55</v>
      </c>
      <c r="L301" t="s">
        <v>74</v>
      </c>
      <c r="M301" t="s">
        <v>75</v>
      </c>
      <c r="N301" s="9">
        <f>SalesData[[#This Row],[Profit]]/SalesData[[#This Row],[Sales]]</f>
        <v>0.16500000000000001</v>
      </c>
    </row>
    <row r="302" spans="1:14">
      <c r="A302" t="s">
        <v>492</v>
      </c>
      <c r="B302" s="6">
        <v>45738</v>
      </c>
      <c r="C302" t="s">
        <v>285</v>
      </c>
      <c r="D302" t="s">
        <v>40</v>
      </c>
      <c r="E302" t="s">
        <v>47</v>
      </c>
      <c r="F302" t="s">
        <v>98</v>
      </c>
      <c r="G302">
        <v>6</v>
      </c>
      <c r="H302" s="7">
        <v>14500</v>
      </c>
      <c r="I302" s="8">
        <v>0.2</v>
      </c>
      <c r="J302" s="7">
        <v>69600</v>
      </c>
      <c r="K302" s="7">
        <v>2088</v>
      </c>
      <c r="L302" t="s">
        <v>49</v>
      </c>
      <c r="M302" t="s">
        <v>44</v>
      </c>
      <c r="N302" s="9">
        <f>SalesData[[#This Row],[Profit]]/SalesData[[#This Row],[Sales]]</f>
        <v>0.03</v>
      </c>
    </row>
    <row r="303" spans="1:14">
      <c r="A303" t="s">
        <v>493</v>
      </c>
      <c r="B303" s="6">
        <v>45681</v>
      </c>
      <c r="C303" t="s">
        <v>215</v>
      </c>
      <c r="D303" t="s">
        <v>56</v>
      </c>
      <c r="E303" t="s">
        <v>66</v>
      </c>
      <c r="F303" t="s">
        <v>78</v>
      </c>
      <c r="G303">
        <v>2</v>
      </c>
      <c r="H303" s="7">
        <v>700</v>
      </c>
      <c r="I303" s="8">
        <v>0</v>
      </c>
      <c r="J303" s="7">
        <v>1400</v>
      </c>
      <c r="K303" s="7">
        <v>235.84</v>
      </c>
      <c r="L303" t="s">
        <v>57</v>
      </c>
      <c r="M303" t="s">
        <v>44</v>
      </c>
      <c r="N303" s="9">
        <f>SalesData[[#This Row],[Profit]]/SalesData[[#This Row],[Sales]]</f>
        <v>0.16845714285714286</v>
      </c>
    </row>
    <row r="304" spans="1:14">
      <c r="A304" t="s">
        <v>494</v>
      </c>
      <c r="B304" s="6">
        <v>45822</v>
      </c>
      <c r="C304" t="s">
        <v>115</v>
      </c>
      <c r="D304" t="s">
        <v>52</v>
      </c>
      <c r="E304" t="s">
        <v>41</v>
      </c>
      <c r="F304" t="s">
        <v>85</v>
      </c>
      <c r="G304">
        <v>1</v>
      </c>
      <c r="H304" s="7">
        <v>1600</v>
      </c>
      <c r="I304" s="8">
        <v>0.2</v>
      </c>
      <c r="J304" s="7">
        <v>1280</v>
      </c>
      <c r="K304" s="7">
        <v>89.15</v>
      </c>
      <c r="L304" t="s">
        <v>43</v>
      </c>
      <c r="M304" t="s">
        <v>44</v>
      </c>
      <c r="N304" s="9">
        <f>SalesData[[#This Row],[Profit]]/SalesData[[#This Row],[Sales]]</f>
        <v>6.9648437500000007E-2</v>
      </c>
    </row>
    <row r="305" spans="1:14">
      <c r="A305" t="s">
        <v>495</v>
      </c>
      <c r="B305" s="6">
        <v>45749</v>
      </c>
      <c r="C305" t="s">
        <v>348</v>
      </c>
      <c r="D305" t="s">
        <v>40</v>
      </c>
      <c r="E305" t="s">
        <v>66</v>
      </c>
      <c r="F305" t="s">
        <v>135</v>
      </c>
      <c r="G305">
        <v>4</v>
      </c>
      <c r="H305" s="7">
        <v>900</v>
      </c>
      <c r="I305" s="8">
        <v>0.1</v>
      </c>
      <c r="J305" s="7">
        <v>3240</v>
      </c>
      <c r="K305" s="7">
        <v>546.79999999999995</v>
      </c>
      <c r="L305" t="s">
        <v>68</v>
      </c>
      <c r="M305" t="s">
        <v>75</v>
      </c>
      <c r="N305" s="9">
        <f>SalesData[[#This Row],[Profit]]/SalesData[[#This Row],[Sales]]</f>
        <v>0.16876543209876541</v>
      </c>
    </row>
    <row r="306" spans="1:14">
      <c r="A306" t="s">
        <v>496</v>
      </c>
      <c r="B306" s="6">
        <v>45702</v>
      </c>
      <c r="C306" t="s">
        <v>497</v>
      </c>
      <c r="D306" t="s">
        <v>40</v>
      </c>
      <c r="E306" t="s">
        <v>41</v>
      </c>
      <c r="F306" t="s">
        <v>42</v>
      </c>
      <c r="G306">
        <v>3</v>
      </c>
      <c r="H306" s="7">
        <v>120</v>
      </c>
      <c r="I306" s="8">
        <v>0.2</v>
      </c>
      <c r="J306" s="7">
        <v>288</v>
      </c>
      <c r="K306" s="7">
        <v>39.03</v>
      </c>
      <c r="L306" t="s">
        <v>43</v>
      </c>
      <c r="M306" t="s">
        <v>44</v>
      </c>
      <c r="N306" s="9">
        <f>SalesData[[#This Row],[Profit]]/SalesData[[#This Row],[Sales]]</f>
        <v>0.13552083333333334</v>
      </c>
    </row>
    <row r="307" spans="1:14">
      <c r="A307" t="s">
        <v>498</v>
      </c>
      <c r="B307" s="6">
        <v>45895</v>
      </c>
      <c r="C307" t="s">
        <v>260</v>
      </c>
      <c r="D307" t="s">
        <v>52</v>
      </c>
      <c r="E307" t="s">
        <v>53</v>
      </c>
      <c r="F307" t="s">
        <v>162</v>
      </c>
      <c r="G307">
        <v>2</v>
      </c>
      <c r="H307" s="7">
        <v>12000</v>
      </c>
      <c r="I307" s="8">
        <v>0</v>
      </c>
      <c r="J307" s="7">
        <v>24000</v>
      </c>
      <c r="K307" s="7">
        <v>5500.41</v>
      </c>
      <c r="L307" t="s">
        <v>49</v>
      </c>
      <c r="M307" t="s">
        <v>44</v>
      </c>
      <c r="N307" s="9">
        <f>SalesData[[#This Row],[Profit]]/SalesData[[#This Row],[Sales]]</f>
        <v>0.22918374999999999</v>
      </c>
    </row>
    <row r="308" spans="1:14">
      <c r="A308" t="s">
        <v>499</v>
      </c>
      <c r="B308" s="6">
        <v>45935</v>
      </c>
      <c r="C308" t="s">
        <v>59</v>
      </c>
      <c r="D308" t="s">
        <v>40</v>
      </c>
      <c r="E308" t="s">
        <v>41</v>
      </c>
      <c r="F308" t="s">
        <v>121</v>
      </c>
      <c r="G308">
        <v>6</v>
      </c>
      <c r="H308" s="7">
        <v>450</v>
      </c>
      <c r="I308" s="8">
        <v>0.15</v>
      </c>
      <c r="J308" s="7">
        <v>2295</v>
      </c>
      <c r="K308" s="7">
        <v>374.87</v>
      </c>
      <c r="L308" t="s">
        <v>68</v>
      </c>
      <c r="M308" t="s">
        <v>44</v>
      </c>
      <c r="N308" s="9">
        <f>SalesData[[#This Row],[Profit]]/SalesData[[#This Row],[Sales]]</f>
        <v>0.16334204793028323</v>
      </c>
    </row>
    <row r="309" spans="1:14">
      <c r="A309" t="s">
        <v>500</v>
      </c>
      <c r="B309" s="6">
        <v>45763</v>
      </c>
      <c r="C309" t="s">
        <v>191</v>
      </c>
      <c r="D309" t="s">
        <v>71</v>
      </c>
      <c r="E309" t="s">
        <v>66</v>
      </c>
      <c r="F309" t="s">
        <v>149</v>
      </c>
      <c r="G309">
        <v>1</v>
      </c>
      <c r="H309" s="7">
        <v>1800</v>
      </c>
      <c r="I309" s="8">
        <v>0.05</v>
      </c>
      <c r="J309" s="7">
        <v>1710</v>
      </c>
      <c r="K309" s="7">
        <v>301.58</v>
      </c>
      <c r="L309" t="s">
        <v>49</v>
      </c>
      <c r="M309" t="s">
        <v>44</v>
      </c>
      <c r="N309" s="9">
        <f>SalesData[[#This Row],[Profit]]/SalesData[[#This Row],[Sales]]</f>
        <v>0.17636257309941519</v>
      </c>
    </row>
    <row r="310" spans="1:14">
      <c r="A310" t="s">
        <v>501</v>
      </c>
      <c r="B310" s="6">
        <v>45776</v>
      </c>
      <c r="C310" t="s">
        <v>502</v>
      </c>
      <c r="D310" t="s">
        <v>52</v>
      </c>
      <c r="E310" t="s">
        <v>41</v>
      </c>
      <c r="F310" t="s">
        <v>91</v>
      </c>
      <c r="G310">
        <v>6</v>
      </c>
      <c r="H310" s="7">
        <v>220</v>
      </c>
      <c r="I310" s="8">
        <v>0</v>
      </c>
      <c r="J310" s="7">
        <v>1320</v>
      </c>
      <c r="K310" s="7">
        <v>228.26</v>
      </c>
      <c r="L310" t="s">
        <v>43</v>
      </c>
      <c r="M310" t="s">
        <v>44</v>
      </c>
      <c r="N310" s="9">
        <f>SalesData[[#This Row],[Profit]]/SalesData[[#This Row],[Sales]]</f>
        <v>0.17292424242424242</v>
      </c>
    </row>
    <row r="311" spans="1:14">
      <c r="A311" t="s">
        <v>503</v>
      </c>
      <c r="B311" s="6">
        <v>45984</v>
      </c>
      <c r="C311" t="s">
        <v>465</v>
      </c>
      <c r="D311" t="s">
        <v>40</v>
      </c>
      <c r="E311" t="s">
        <v>47</v>
      </c>
      <c r="F311" t="s">
        <v>60</v>
      </c>
      <c r="G311">
        <v>6</v>
      </c>
      <c r="H311" s="7">
        <v>2500</v>
      </c>
      <c r="I311" s="8">
        <v>0.05</v>
      </c>
      <c r="J311" s="7">
        <v>14250</v>
      </c>
      <c r="K311" s="7">
        <v>1430.46</v>
      </c>
      <c r="L311" t="s">
        <v>68</v>
      </c>
      <c r="M311" t="s">
        <v>75</v>
      </c>
      <c r="N311" s="9">
        <f>SalesData[[#This Row],[Profit]]/SalesData[[#This Row],[Sales]]</f>
        <v>0.10038315789473684</v>
      </c>
    </row>
    <row r="312" spans="1:14">
      <c r="A312" t="s">
        <v>504</v>
      </c>
      <c r="B312" s="6">
        <v>45859</v>
      </c>
      <c r="C312" t="s">
        <v>73</v>
      </c>
      <c r="D312" t="s">
        <v>56</v>
      </c>
      <c r="E312" t="s">
        <v>66</v>
      </c>
      <c r="F312" t="s">
        <v>67</v>
      </c>
      <c r="G312">
        <v>2</v>
      </c>
      <c r="H312" s="7">
        <v>2200</v>
      </c>
      <c r="I312" s="8">
        <v>0</v>
      </c>
      <c r="J312" s="7">
        <v>4400</v>
      </c>
      <c r="K312" s="7">
        <v>1016.26</v>
      </c>
      <c r="L312" t="s">
        <v>74</v>
      </c>
      <c r="M312" t="s">
        <v>44</v>
      </c>
      <c r="N312" s="9">
        <f>SalesData[[#This Row],[Profit]]/SalesData[[#This Row],[Sales]]</f>
        <v>0.23096818181818182</v>
      </c>
    </row>
    <row r="313" spans="1:14">
      <c r="A313" t="s">
        <v>505</v>
      </c>
      <c r="B313" s="6">
        <v>45737</v>
      </c>
      <c r="C313" t="s">
        <v>579</v>
      </c>
      <c r="D313" t="s">
        <v>71</v>
      </c>
      <c r="E313" t="s">
        <v>66</v>
      </c>
      <c r="F313" t="s">
        <v>149</v>
      </c>
      <c r="G313">
        <v>3</v>
      </c>
      <c r="H313" s="7">
        <v>1800</v>
      </c>
      <c r="I313" s="8">
        <v>0.15</v>
      </c>
      <c r="J313" s="7">
        <v>4590</v>
      </c>
      <c r="K313" s="7">
        <v>214.89</v>
      </c>
      <c r="L313" t="s">
        <v>68</v>
      </c>
      <c r="M313" t="s">
        <v>44</v>
      </c>
      <c r="N313" s="9">
        <f>SalesData[[#This Row],[Profit]]/SalesData[[#This Row],[Sales]]</f>
        <v>4.6816993464052284E-2</v>
      </c>
    </row>
    <row r="314" spans="1:14">
      <c r="A314" t="s">
        <v>506</v>
      </c>
      <c r="B314" s="6">
        <v>45889</v>
      </c>
      <c r="C314" t="s">
        <v>283</v>
      </c>
      <c r="D314" t="s">
        <v>52</v>
      </c>
      <c r="E314" t="s">
        <v>41</v>
      </c>
      <c r="F314" t="s">
        <v>121</v>
      </c>
      <c r="G314">
        <v>1</v>
      </c>
      <c r="H314" s="7">
        <v>450</v>
      </c>
      <c r="I314" s="8">
        <v>0.05</v>
      </c>
      <c r="J314" s="7">
        <v>427.5</v>
      </c>
      <c r="K314" s="7">
        <v>81.96</v>
      </c>
      <c r="L314" t="s">
        <v>68</v>
      </c>
      <c r="M314" t="s">
        <v>44</v>
      </c>
      <c r="N314" s="9">
        <f>SalesData[[#This Row],[Profit]]/SalesData[[#This Row],[Sales]]</f>
        <v>0.19171929824561401</v>
      </c>
    </row>
    <row r="315" spans="1:14">
      <c r="A315" t="s">
        <v>507</v>
      </c>
      <c r="B315" s="6">
        <v>45768</v>
      </c>
      <c r="C315" t="s">
        <v>73</v>
      </c>
      <c r="D315" t="s">
        <v>71</v>
      </c>
      <c r="E315" t="s">
        <v>47</v>
      </c>
      <c r="F315" t="s">
        <v>98</v>
      </c>
      <c r="G315">
        <v>3</v>
      </c>
      <c r="H315" s="7">
        <v>14500</v>
      </c>
      <c r="I315" s="8">
        <v>0.15</v>
      </c>
      <c r="J315" s="7">
        <v>36975</v>
      </c>
      <c r="K315" s="7">
        <v>4054.44</v>
      </c>
      <c r="L315" t="s">
        <v>68</v>
      </c>
      <c r="M315" t="s">
        <v>75</v>
      </c>
      <c r="N315" s="9">
        <f>SalesData[[#This Row],[Profit]]/SalesData[[#This Row],[Sales]]</f>
        <v>0.10965354969574037</v>
      </c>
    </row>
    <row r="316" spans="1:14">
      <c r="A316" t="s">
        <v>508</v>
      </c>
      <c r="B316" s="6">
        <v>45747</v>
      </c>
      <c r="C316" t="s">
        <v>222</v>
      </c>
      <c r="D316" t="s">
        <v>52</v>
      </c>
      <c r="E316" t="s">
        <v>66</v>
      </c>
      <c r="F316" t="s">
        <v>78</v>
      </c>
      <c r="G316">
        <v>1</v>
      </c>
      <c r="H316" s="7">
        <v>700</v>
      </c>
      <c r="I316" s="8">
        <v>0.15</v>
      </c>
      <c r="J316" s="7">
        <v>595</v>
      </c>
      <c r="K316" s="7">
        <v>26.06</v>
      </c>
      <c r="L316" t="s">
        <v>74</v>
      </c>
      <c r="M316" t="s">
        <v>44</v>
      </c>
      <c r="N316" s="9">
        <f>SalesData[[#This Row],[Profit]]/SalesData[[#This Row],[Sales]]</f>
        <v>4.3798319327731088E-2</v>
      </c>
    </row>
    <row r="317" spans="1:14">
      <c r="A317" t="s">
        <v>509</v>
      </c>
      <c r="B317" s="6">
        <v>45664</v>
      </c>
      <c r="C317" t="s">
        <v>203</v>
      </c>
      <c r="D317" t="s">
        <v>71</v>
      </c>
      <c r="E317" t="s">
        <v>53</v>
      </c>
      <c r="F317" t="s">
        <v>162</v>
      </c>
      <c r="G317">
        <v>4</v>
      </c>
      <c r="H317" s="7">
        <v>12000</v>
      </c>
      <c r="I317" s="8">
        <v>0.1</v>
      </c>
      <c r="J317" s="7">
        <v>43200</v>
      </c>
      <c r="K317" s="7">
        <v>6687.6</v>
      </c>
      <c r="L317" t="s">
        <v>49</v>
      </c>
      <c r="M317" t="s">
        <v>75</v>
      </c>
      <c r="N317" s="9">
        <f>SalesData[[#This Row],[Profit]]/SalesData[[#This Row],[Sales]]</f>
        <v>0.15480555555555556</v>
      </c>
    </row>
    <row r="318" spans="1:14">
      <c r="A318" t="s">
        <v>510</v>
      </c>
      <c r="B318" s="6">
        <v>45696</v>
      </c>
      <c r="C318" t="s">
        <v>511</v>
      </c>
      <c r="D318" t="s">
        <v>40</v>
      </c>
      <c r="E318" t="s">
        <v>53</v>
      </c>
      <c r="F318" t="s">
        <v>54</v>
      </c>
      <c r="G318">
        <v>2</v>
      </c>
      <c r="H318" s="7">
        <v>7800</v>
      </c>
      <c r="I318" s="8">
        <v>0</v>
      </c>
      <c r="J318" s="7">
        <v>15600</v>
      </c>
      <c r="K318" s="7">
        <v>3507.07</v>
      </c>
      <c r="L318" t="s">
        <v>68</v>
      </c>
      <c r="M318" t="s">
        <v>44</v>
      </c>
      <c r="N318" s="9">
        <f>SalesData[[#This Row],[Profit]]/SalesData[[#This Row],[Sales]]</f>
        <v>0.22481217948717949</v>
      </c>
    </row>
    <row r="319" spans="1:14">
      <c r="A319" t="s">
        <v>512</v>
      </c>
      <c r="B319" s="6">
        <v>45679</v>
      </c>
      <c r="C319" t="s">
        <v>224</v>
      </c>
      <c r="D319" t="s">
        <v>40</v>
      </c>
      <c r="E319" t="s">
        <v>53</v>
      </c>
      <c r="F319" t="s">
        <v>54</v>
      </c>
      <c r="G319">
        <v>6</v>
      </c>
      <c r="H319" s="7">
        <v>7800</v>
      </c>
      <c r="I319" s="8">
        <v>0.15</v>
      </c>
      <c r="J319" s="7">
        <v>39780</v>
      </c>
      <c r="K319" s="7">
        <v>4251.7</v>
      </c>
      <c r="L319" t="s">
        <v>57</v>
      </c>
      <c r="M319" t="s">
        <v>75</v>
      </c>
      <c r="N319" s="9">
        <f>SalesData[[#This Row],[Profit]]/SalesData[[#This Row],[Sales]]</f>
        <v>0.10688034188034187</v>
      </c>
    </row>
    <row r="320" spans="1:14">
      <c r="A320" t="s">
        <v>513</v>
      </c>
      <c r="B320" s="6">
        <v>45746</v>
      </c>
      <c r="C320" t="s">
        <v>443</v>
      </c>
      <c r="D320" t="s">
        <v>71</v>
      </c>
      <c r="E320" t="s">
        <v>53</v>
      </c>
      <c r="F320" t="s">
        <v>119</v>
      </c>
      <c r="G320">
        <v>3</v>
      </c>
      <c r="H320" s="7">
        <v>6500</v>
      </c>
      <c r="I320" s="8">
        <v>0.15</v>
      </c>
      <c r="J320" s="7">
        <v>16575</v>
      </c>
      <c r="K320" s="7">
        <v>2798.65</v>
      </c>
      <c r="L320" t="s">
        <v>49</v>
      </c>
      <c r="M320" t="s">
        <v>44</v>
      </c>
      <c r="N320" s="9">
        <f>SalesData[[#This Row],[Profit]]/SalesData[[#This Row],[Sales]]</f>
        <v>0.16884766214177979</v>
      </c>
    </row>
    <row r="321" spans="1:14">
      <c r="A321" t="s">
        <v>514</v>
      </c>
      <c r="B321" s="6">
        <v>45989</v>
      </c>
      <c r="C321" t="s">
        <v>62</v>
      </c>
      <c r="D321" t="s">
        <v>52</v>
      </c>
      <c r="E321" t="s">
        <v>66</v>
      </c>
      <c r="F321" t="s">
        <v>149</v>
      </c>
      <c r="G321">
        <v>1</v>
      </c>
      <c r="H321" s="7">
        <v>1800</v>
      </c>
      <c r="I321" s="8">
        <v>0</v>
      </c>
      <c r="J321" s="7">
        <v>1800</v>
      </c>
      <c r="K321" s="7">
        <v>224.58</v>
      </c>
      <c r="L321" t="s">
        <v>74</v>
      </c>
      <c r="M321" t="s">
        <v>75</v>
      </c>
      <c r="N321" s="9">
        <f>SalesData[[#This Row],[Profit]]/SalesData[[#This Row],[Sales]]</f>
        <v>0.12476666666666668</v>
      </c>
    </row>
    <row r="322" spans="1:14">
      <c r="A322" t="s">
        <v>515</v>
      </c>
      <c r="B322" s="6">
        <v>45760</v>
      </c>
      <c r="C322" t="s">
        <v>233</v>
      </c>
      <c r="D322" t="s">
        <v>71</v>
      </c>
      <c r="E322" t="s">
        <v>47</v>
      </c>
      <c r="F322" t="s">
        <v>60</v>
      </c>
      <c r="G322">
        <v>6</v>
      </c>
      <c r="H322" s="7">
        <v>2500</v>
      </c>
      <c r="I322" s="8">
        <v>0.1</v>
      </c>
      <c r="J322" s="7">
        <v>13500</v>
      </c>
      <c r="K322" s="7">
        <v>1643.62</v>
      </c>
      <c r="L322" t="s">
        <v>57</v>
      </c>
      <c r="M322" t="s">
        <v>75</v>
      </c>
      <c r="N322" s="9">
        <f>SalesData[[#This Row],[Profit]]/SalesData[[#This Row],[Sales]]</f>
        <v>0.12174962962962962</v>
      </c>
    </row>
    <row r="323" spans="1:14">
      <c r="A323" t="s">
        <v>516</v>
      </c>
      <c r="B323" s="6">
        <v>45947</v>
      </c>
      <c r="C323" t="s">
        <v>87</v>
      </c>
      <c r="D323" t="s">
        <v>56</v>
      </c>
      <c r="E323" t="s">
        <v>66</v>
      </c>
      <c r="F323" t="s">
        <v>67</v>
      </c>
      <c r="G323">
        <v>2</v>
      </c>
      <c r="H323" s="7">
        <v>2200</v>
      </c>
      <c r="I323" s="8">
        <v>0</v>
      </c>
      <c r="J323" s="7">
        <v>4400</v>
      </c>
      <c r="K323" s="7">
        <v>576.49</v>
      </c>
      <c r="L323" t="s">
        <v>74</v>
      </c>
      <c r="M323" t="s">
        <v>44</v>
      </c>
      <c r="N323" s="9">
        <f>SalesData[[#This Row],[Profit]]/SalesData[[#This Row],[Sales]]</f>
        <v>0.13102045454545455</v>
      </c>
    </row>
    <row r="324" spans="1:14">
      <c r="A324" t="s">
        <v>517</v>
      </c>
      <c r="B324" s="6">
        <v>45801</v>
      </c>
      <c r="C324" t="s">
        <v>518</v>
      </c>
      <c r="D324" t="s">
        <v>52</v>
      </c>
      <c r="E324" t="s">
        <v>41</v>
      </c>
      <c r="F324" t="s">
        <v>42</v>
      </c>
      <c r="G324">
        <v>2</v>
      </c>
      <c r="H324" s="7">
        <v>120</v>
      </c>
      <c r="I324" s="8">
        <v>0</v>
      </c>
      <c r="J324" s="7">
        <v>240</v>
      </c>
      <c r="K324" s="7">
        <v>28.72</v>
      </c>
      <c r="L324" t="s">
        <v>74</v>
      </c>
      <c r="M324" t="s">
        <v>75</v>
      </c>
      <c r="N324" s="9">
        <f>SalesData[[#This Row],[Profit]]/SalesData[[#This Row],[Sales]]</f>
        <v>0.11966666666666666</v>
      </c>
    </row>
    <row r="325" spans="1:14">
      <c r="A325" t="s">
        <v>519</v>
      </c>
      <c r="B325" s="6">
        <v>45931</v>
      </c>
      <c r="C325" t="s">
        <v>518</v>
      </c>
      <c r="D325" t="s">
        <v>71</v>
      </c>
      <c r="E325" t="s">
        <v>66</v>
      </c>
      <c r="F325" t="s">
        <v>67</v>
      </c>
      <c r="G325">
        <v>2</v>
      </c>
      <c r="H325" s="7">
        <v>2200</v>
      </c>
      <c r="I325" s="8">
        <v>0.05</v>
      </c>
      <c r="J325" s="7">
        <v>4180</v>
      </c>
      <c r="K325" s="7">
        <v>419.46</v>
      </c>
      <c r="L325" t="s">
        <v>68</v>
      </c>
      <c r="M325" t="s">
        <v>75</v>
      </c>
      <c r="N325" s="9">
        <f>SalesData[[#This Row],[Profit]]/SalesData[[#This Row],[Sales]]</f>
        <v>0.10034928229665072</v>
      </c>
    </row>
    <row r="326" spans="1:14">
      <c r="A326" t="s">
        <v>520</v>
      </c>
      <c r="B326" s="6">
        <v>45960</v>
      </c>
      <c r="C326" t="s">
        <v>222</v>
      </c>
      <c r="D326" t="s">
        <v>56</v>
      </c>
      <c r="E326" t="s">
        <v>53</v>
      </c>
      <c r="F326" t="s">
        <v>162</v>
      </c>
      <c r="G326">
        <v>4</v>
      </c>
      <c r="H326" s="7">
        <v>12000</v>
      </c>
      <c r="I326" s="8">
        <v>0.2</v>
      </c>
      <c r="J326" s="7">
        <v>38400</v>
      </c>
      <c r="K326" s="7">
        <v>2282.8200000000002</v>
      </c>
      <c r="L326" t="s">
        <v>57</v>
      </c>
      <c r="M326" t="s">
        <v>44</v>
      </c>
      <c r="N326" s="9">
        <f>SalesData[[#This Row],[Profit]]/SalesData[[#This Row],[Sales]]</f>
        <v>5.9448437500000006E-2</v>
      </c>
    </row>
    <row r="327" spans="1:14">
      <c r="A327" t="s">
        <v>521</v>
      </c>
      <c r="B327" s="6">
        <v>45704</v>
      </c>
      <c r="C327" t="s">
        <v>518</v>
      </c>
      <c r="D327" t="s">
        <v>71</v>
      </c>
      <c r="E327" t="s">
        <v>53</v>
      </c>
      <c r="F327" t="s">
        <v>63</v>
      </c>
      <c r="G327">
        <v>5</v>
      </c>
      <c r="H327" s="7">
        <v>8500</v>
      </c>
      <c r="I327" s="8">
        <v>0.15</v>
      </c>
      <c r="J327" s="7">
        <v>36125</v>
      </c>
      <c r="K327" s="7">
        <v>1083.75</v>
      </c>
      <c r="L327" t="s">
        <v>43</v>
      </c>
      <c r="M327" t="s">
        <v>44</v>
      </c>
      <c r="N327" s="9">
        <f>SalesData[[#This Row],[Profit]]/SalesData[[#This Row],[Sales]]</f>
        <v>0.03</v>
      </c>
    </row>
    <row r="328" spans="1:14">
      <c r="A328" t="s">
        <v>522</v>
      </c>
      <c r="B328" s="6">
        <v>45724</v>
      </c>
      <c r="C328" t="s">
        <v>372</v>
      </c>
      <c r="D328" t="s">
        <v>71</v>
      </c>
      <c r="E328" t="s">
        <v>41</v>
      </c>
      <c r="F328" t="s">
        <v>121</v>
      </c>
      <c r="G328">
        <v>1</v>
      </c>
      <c r="H328" s="7">
        <v>450</v>
      </c>
      <c r="I328" s="8">
        <v>0.05</v>
      </c>
      <c r="J328" s="7">
        <v>427.5</v>
      </c>
      <c r="K328" s="7">
        <v>66.84</v>
      </c>
      <c r="L328" t="s">
        <v>74</v>
      </c>
      <c r="M328" t="s">
        <v>44</v>
      </c>
      <c r="N328" s="9">
        <f>SalesData[[#This Row],[Profit]]/SalesData[[#This Row],[Sales]]</f>
        <v>0.15635087719298246</v>
      </c>
    </row>
    <row r="329" spans="1:14">
      <c r="A329" t="s">
        <v>523</v>
      </c>
      <c r="B329" s="6">
        <v>45927</v>
      </c>
      <c r="C329" t="s">
        <v>253</v>
      </c>
      <c r="D329" t="s">
        <v>40</v>
      </c>
      <c r="E329" t="s">
        <v>41</v>
      </c>
      <c r="F329" t="s">
        <v>91</v>
      </c>
      <c r="G329">
        <v>5</v>
      </c>
      <c r="H329" s="7">
        <v>220</v>
      </c>
      <c r="I329" s="8">
        <v>0</v>
      </c>
      <c r="J329" s="7">
        <v>1100</v>
      </c>
      <c r="K329" s="7">
        <v>147.22999999999999</v>
      </c>
      <c r="L329" t="s">
        <v>68</v>
      </c>
      <c r="M329" t="s">
        <v>44</v>
      </c>
      <c r="N329" s="9">
        <f>SalesData[[#This Row],[Profit]]/SalesData[[#This Row],[Sales]]</f>
        <v>0.13384545454545455</v>
      </c>
    </row>
    <row r="330" spans="1:14">
      <c r="A330" t="s">
        <v>524</v>
      </c>
      <c r="B330" s="6">
        <v>45738</v>
      </c>
      <c r="C330" t="s">
        <v>335</v>
      </c>
      <c r="D330" t="s">
        <v>52</v>
      </c>
      <c r="E330" t="s">
        <v>41</v>
      </c>
      <c r="F330" t="s">
        <v>42</v>
      </c>
      <c r="G330">
        <v>6</v>
      </c>
      <c r="H330" s="7">
        <v>120</v>
      </c>
      <c r="I330" s="8">
        <v>0.2</v>
      </c>
      <c r="J330" s="7">
        <v>576</v>
      </c>
      <c r="K330" s="7">
        <v>69.680000000000007</v>
      </c>
      <c r="L330" t="s">
        <v>43</v>
      </c>
      <c r="M330" t="s">
        <v>75</v>
      </c>
      <c r="N330" s="9">
        <f>SalesData[[#This Row],[Profit]]/SalesData[[#This Row],[Sales]]</f>
        <v>0.12097222222222223</v>
      </c>
    </row>
    <row r="331" spans="1:14">
      <c r="A331" t="s">
        <v>525</v>
      </c>
      <c r="B331" s="6">
        <v>45772</v>
      </c>
      <c r="C331" t="s">
        <v>327</v>
      </c>
      <c r="D331" t="s">
        <v>52</v>
      </c>
      <c r="E331" t="s">
        <v>41</v>
      </c>
      <c r="F331" t="s">
        <v>85</v>
      </c>
      <c r="G331">
        <v>2</v>
      </c>
      <c r="H331" s="7">
        <v>1600</v>
      </c>
      <c r="I331" s="8">
        <v>0.05</v>
      </c>
      <c r="J331" s="7">
        <v>3040</v>
      </c>
      <c r="K331" s="7">
        <v>544.5</v>
      </c>
      <c r="L331" t="s">
        <v>43</v>
      </c>
      <c r="M331" t="s">
        <v>75</v>
      </c>
      <c r="N331" s="9">
        <f>SalesData[[#This Row],[Profit]]/SalesData[[#This Row],[Sales]]</f>
        <v>0.17911184210526315</v>
      </c>
    </row>
    <row r="332" spans="1:14">
      <c r="A332" t="s">
        <v>526</v>
      </c>
      <c r="B332" s="6">
        <v>45948</v>
      </c>
      <c r="C332" t="s">
        <v>527</v>
      </c>
      <c r="D332" t="s">
        <v>579</v>
      </c>
      <c r="E332" t="s">
        <v>41</v>
      </c>
      <c r="F332" t="s">
        <v>42</v>
      </c>
      <c r="G332">
        <v>6</v>
      </c>
      <c r="H332" s="7">
        <v>120</v>
      </c>
      <c r="I332" s="8">
        <v>0.2</v>
      </c>
      <c r="J332" s="7">
        <v>576</v>
      </c>
      <c r="K332" s="7">
        <v>17.28</v>
      </c>
      <c r="L332" t="s">
        <v>57</v>
      </c>
      <c r="M332" t="s">
        <v>44</v>
      </c>
      <c r="N332" s="9">
        <f>SalesData[[#This Row],[Profit]]/SalesData[[#This Row],[Sales]]</f>
        <v>3.0000000000000002E-2</v>
      </c>
    </row>
    <row r="333" spans="1:14">
      <c r="A333" t="s">
        <v>528</v>
      </c>
      <c r="B333" s="6">
        <v>45827</v>
      </c>
      <c r="C333" t="s">
        <v>296</v>
      </c>
      <c r="D333" t="s">
        <v>71</v>
      </c>
      <c r="E333" t="s">
        <v>41</v>
      </c>
      <c r="F333" t="s">
        <v>85</v>
      </c>
      <c r="G333">
        <v>2</v>
      </c>
      <c r="H333" s="7">
        <v>1600</v>
      </c>
      <c r="I333" s="8">
        <v>0</v>
      </c>
      <c r="J333" s="7">
        <v>3200</v>
      </c>
      <c r="K333" s="7">
        <v>676.69</v>
      </c>
      <c r="L333" t="s">
        <v>68</v>
      </c>
      <c r="M333" t="s">
        <v>75</v>
      </c>
      <c r="N333" s="9">
        <f>SalesData[[#This Row],[Profit]]/SalesData[[#This Row],[Sales]]</f>
        <v>0.21146562500000002</v>
      </c>
    </row>
    <row r="334" spans="1:14">
      <c r="A334" t="s">
        <v>529</v>
      </c>
      <c r="B334" s="6">
        <v>45663</v>
      </c>
      <c r="C334" t="s">
        <v>125</v>
      </c>
      <c r="D334" t="s">
        <v>71</v>
      </c>
      <c r="E334" t="s">
        <v>53</v>
      </c>
      <c r="F334" t="s">
        <v>63</v>
      </c>
      <c r="G334">
        <v>3</v>
      </c>
      <c r="H334" s="7">
        <v>8500</v>
      </c>
      <c r="I334" s="8">
        <v>0.1</v>
      </c>
      <c r="J334" s="7">
        <v>22950</v>
      </c>
      <c r="K334" s="7">
        <v>3922.69</v>
      </c>
      <c r="L334" t="s">
        <v>49</v>
      </c>
      <c r="M334" t="s">
        <v>44</v>
      </c>
      <c r="N334" s="9">
        <f>SalesData[[#This Row],[Profit]]/SalesData[[#This Row],[Sales]]</f>
        <v>0.17092331154684096</v>
      </c>
    </row>
    <row r="335" spans="1:14">
      <c r="A335" t="s">
        <v>530</v>
      </c>
      <c r="B335" s="6">
        <v>45855</v>
      </c>
      <c r="C335" t="s">
        <v>303</v>
      </c>
      <c r="D335" t="s">
        <v>52</v>
      </c>
      <c r="E335" t="s">
        <v>53</v>
      </c>
      <c r="F335" t="s">
        <v>54</v>
      </c>
      <c r="G335">
        <v>4</v>
      </c>
      <c r="H335" s="7">
        <v>7800</v>
      </c>
      <c r="I335" s="8">
        <v>0.15</v>
      </c>
      <c r="J335" s="7">
        <v>26520</v>
      </c>
      <c r="K335" s="7">
        <v>2219.64</v>
      </c>
      <c r="L335" t="s">
        <v>57</v>
      </c>
      <c r="M335" t="s">
        <v>44</v>
      </c>
      <c r="N335" s="9">
        <f>SalesData[[#This Row],[Profit]]/SalesData[[#This Row],[Sales]]</f>
        <v>8.3696832579185518E-2</v>
      </c>
    </row>
    <row r="336" spans="1:14">
      <c r="A336" t="s">
        <v>531</v>
      </c>
      <c r="B336" s="6">
        <v>45903</v>
      </c>
      <c r="C336" t="s">
        <v>348</v>
      </c>
      <c r="D336" t="s">
        <v>71</v>
      </c>
      <c r="E336" t="s">
        <v>66</v>
      </c>
      <c r="F336" t="s">
        <v>135</v>
      </c>
      <c r="G336">
        <v>1</v>
      </c>
      <c r="H336" s="7">
        <v>900</v>
      </c>
      <c r="I336" s="8">
        <v>0.1</v>
      </c>
      <c r="J336" s="7">
        <v>810</v>
      </c>
      <c r="K336" s="7">
        <v>39.049999999999997</v>
      </c>
      <c r="L336" t="s">
        <v>68</v>
      </c>
      <c r="M336" t="s">
        <v>44</v>
      </c>
      <c r="N336" s="9">
        <f>SalesData[[#This Row],[Profit]]/SalesData[[#This Row],[Sales]]</f>
        <v>4.8209876543209872E-2</v>
      </c>
    </row>
    <row r="337" spans="1:14">
      <c r="A337" t="s">
        <v>532</v>
      </c>
      <c r="B337" s="6">
        <v>45695</v>
      </c>
      <c r="C337" t="s">
        <v>372</v>
      </c>
      <c r="D337" t="s">
        <v>71</v>
      </c>
      <c r="E337" t="s">
        <v>66</v>
      </c>
      <c r="F337" t="s">
        <v>78</v>
      </c>
      <c r="G337">
        <v>6</v>
      </c>
      <c r="H337" s="7">
        <v>700</v>
      </c>
      <c r="I337" s="8">
        <v>0</v>
      </c>
      <c r="J337" s="7">
        <v>4200</v>
      </c>
      <c r="K337" s="7">
        <v>703.62</v>
      </c>
      <c r="L337" t="s">
        <v>49</v>
      </c>
      <c r="M337" t="s">
        <v>75</v>
      </c>
      <c r="N337" s="9">
        <f>SalesData[[#This Row],[Profit]]/SalesData[[#This Row],[Sales]]</f>
        <v>0.16752857142857144</v>
      </c>
    </row>
    <row r="338" spans="1:14">
      <c r="A338" t="s">
        <v>533</v>
      </c>
      <c r="B338" s="6">
        <v>45962</v>
      </c>
      <c r="C338" t="s">
        <v>251</v>
      </c>
      <c r="D338" t="s">
        <v>40</v>
      </c>
      <c r="E338" t="s">
        <v>66</v>
      </c>
      <c r="F338" t="s">
        <v>78</v>
      </c>
      <c r="G338">
        <v>5</v>
      </c>
      <c r="H338" s="7">
        <v>700</v>
      </c>
      <c r="I338" s="8">
        <v>0.15</v>
      </c>
      <c r="J338" s="7">
        <v>2975</v>
      </c>
      <c r="K338" s="7">
        <v>156.59</v>
      </c>
      <c r="L338" t="s">
        <v>49</v>
      </c>
      <c r="M338" t="s">
        <v>75</v>
      </c>
      <c r="N338" s="9">
        <f>SalesData[[#This Row],[Profit]]/SalesData[[#This Row],[Sales]]</f>
        <v>5.2635294117647058E-2</v>
      </c>
    </row>
    <row r="339" spans="1:14">
      <c r="A339" t="s">
        <v>534</v>
      </c>
      <c r="B339" s="6">
        <v>45763</v>
      </c>
      <c r="C339" t="s">
        <v>111</v>
      </c>
      <c r="D339" t="s">
        <v>52</v>
      </c>
      <c r="E339" t="s">
        <v>41</v>
      </c>
      <c r="F339" t="s">
        <v>85</v>
      </c>
      <c r="G339">
        <v>3</v>
      </c>
      <c r="H339" s="7">
        <v>1600</v>
      </c>
      <c r="I339" s="8">
        <v>0.05</v>
      </c>
      <c r="J339" s="7">
        <v>4560</v>
      </c>
      <c r="K339" s="7">
        <v>354.98</v>
      </c>
      <c r="L339" t="s">
        <v>57</v>
      </c>
      <c r="M339" t="s">
        <v>75</v>
      </c>
      <c r="N339" s="9">
        <f>SalesData[[#This Row],[Profit]]/SalesData[[#This Row],[Sales]]</f>
        <v>7.7846491228070178E-2</v>
      </c>
    </row>
    <row r="340" spans="1:14">
      <c r="A340" t="s">
        <v>535</v>
      </c>
      <c r="B340" s="6">
        <v>45736</v>
      </c>
      <c r="C340" t="s">
        <v>480</v>
      </c>
      <c r="D340" t="s">
        <v>56</v>
      </c>
      <c r="E340" t="s">
        <v>47</v>
      </c>
      <c r="F340" t="s">
        <v>60</v>
      </c>
      <c r="G340">
        <v>1</v>
      </c>
      <c r="H340" s="7">
        <v>2500</v>
      </c>
      <c r="I340" s="8">
        <v>0.1</v>
      </c>
      <c r="J340" s="7">
        <v>2250</v>
      </c>
      <c r="K340" s="7">
        <v>397.85</v>
      </c>
      <c r="L340" t="s">
        <v>43</v>
      </c>
      <c r="M340" t="s">
        <v>75</v>
      </c>
      <c r="N340" s="9">
        <f>SalesData[[#This Row],[Profit]]/SalesData[[#This Row],[Sales]]</f>
        <v>0.17682222222222224</v>
      </c>
    </row>
    <row r="341" spans="1:14">
      <c r="A341" t="s">
        <v>536</v>
      </c>
      <c r="B341" s="6">
        <v>45760</v>
      </c>
      <c r="C341" t="s">
        <v>275</v>
      </c>
      <c r="D341" t="s">
        <v>40</v>
      </c>
      <c r="E341" t="s">
        <v>53</v>
      </c>
      <c r="F341" t="s">
        <v>162</v>
      </c>
      <c r="G341">
        <v>6</v>
      </c>
      <c r="H341" s="7">
        <v>12000</v>
      </c>
      <c r="I341" s="8">
        <v>0.1</v>
      </c>
      <c r="J341" s="7">
        <v>64800</v>
      </c>
      <c r="K341" s="7">
        <v>13046.13</v>
      </c>
      <c r="L341" t="s">
        <v>57</v>
      </c>
      <c r="M341" t="s">
        <v>44</v>
      </c>
      <c r="N341" s="9">
        <f>SalesData[[#This Row],[Profit]]/SalesData[[#This Row],[Sales]]</f>
        <v>0.20132916666666664</v>
      </c>
    </row>
    <row r="342" spans="1:14">
      <c r="A342" t="s">
        <v>537</v>
      </c>
      <c r="B342" s="6">
        <v>45815</v>
      </c>
      <c r="C342" t="s">
        <v>235</v>
      </c>
      <c r="D342" t="s">
        <v>52</v>
      </c>
      <c r="E342" t="s">
        <v>66</v>
      </c>
      <c r="F342" t="s">
        <v>67</v>
      </c>
      <c r="G342">
        <v>1</v>
      </c>
      <c r="H342" s="7">
        <v>2200</v>
      </c>
      <c r="I342" s="8">
        <v>0.2</v>
      </c>
      <c r="J342" s="7">
        <v>1760</v>
      </c>
      <c r="K342" s="7">
        <v>126.73</v>
      </c>
      <c r="L342" t="s">
        <v>68</v>
      </c>
      <c r="M342" t="s">
        <v>75</v>
      </c>
      <c r="N342" s="9">
        <f>SalesData[[#This Row],[Profit]]/SalesData[[#This Row],[Sales]]</f>
        <v>7.2005681818181816E-2</v>
      </c>
    </row>
    <row r="343" spans="1:14">
      <c r="A343" t="s">
        <v>538</v>
      </c>
      <c r="B343" s="6">
        <v>45847</v>
      </c>
      <c r="C343" t="s">
        <v>539</v>
      </c>
      <c r="D343" t="s">
        <v>52</v>
      </c>
      <c r="E343" t="s">
        <v>47</v>
      </c>
      <c r="F343" t="s">
        <v>88</v>
      </c>
      <c r="G343">
        <v>4</v>
      </c>
      <c r="H343" s="7">
        <v>1800</v>
      </c>
      <c r="I343" s="8">
        <v>0.15</v>
      </c>
      <c r="J343" s="7">
        <v>6120</v>
      </c>
      <c r="K343" s="7">
        <v>426.22</v>
      </c>
      <c r="L343" t="s">
        <v>68</v>
      </c>
      <c r="M343" t="s">
        <v>44</v>
      </c>
      <c r="N343" s="9">
        <f>SalesData[[#This Row],[Profit]]/SalesData[[#This Row],[Sales]]</f>
        <v>6.9643790849673204E-2</v>
      </c>
    </row>
    <row r="344" spans="1:14">
      <c r="A344" t="s">
        <v>540</v>
      </c>
      <c r="B344" s="6">
        <v>45735</v>
      </c>
      <c r="C344" t="s">
        <v>275</v>
      </c>
      <c r="D344" t="s">
        <v>40</v>
      </c>
      <c r="E344" t="s">
        <v>41</v>
      </c>
      <c r="F344" t="s">
        <v>91</v>
      </c>
      <c r="G344">
        <v>5</v>
      </c>
      <c r="H344" s="7">
        <v>220</v>
      </c>
      <c r="I344" s="8">
        <v>0.05</v>
      </c>
      <c r="J344" s="7">
        <v>1045</v>
      </c>
      <c r="K344" s="7">
        <v>157.87</v>
      </c>
      <c r="L344" t="s">
        <v>57</v>
      </c>
      <c r="M344" t="s">
        <v>75</v>
      </c>
      <c r="N344" s="9">
        <f>SalesData[[#This Row],[Profit]]/SalesData[[#This Row],[Sales]]</f>
        <v>0.15107177033492825</v>
      </c>
    </row>
    <row r="345" spans="1:14">
      <c r="A345" t="s">
        <v>541</v>
      </c>
      <c r="B345" s="6">
        <v>45932</v>
      </c>
      <c r="C345" t="s">
        <v>104</v>
      </c>
      <c r="D345" t="s">
        <v>71</v>
      </c>
      <c r="E345" t="s">
        <v>66</v>
      </c>
      <c r="F345" t="s">
        <v>67</v>
      </c>
      <c r="G345">
        <v>1</v>
      </c>
      <c r="H345" s="7">
        <v>2200</v>
      </c>
      <c r="I345" s="8">
        <v>0.15</v>
      </c>
      <c r="J345" s="7">
        <v>1870</v>
      </c>
      <c r="K345" s="7">
        <v>321.54000000000002</v>
      </c>
      <c r="L345" t="s">
        <v>49</v>
      </c>
      <c r="M345" t="s">
        <v>44</v>
      </c>
      <c r="N345" s="9">
        <f>SalesData[[#This Row],[Profit]]/SalesData[[#This Row],[Sales]]</f>
        <v>0.17194652406417113</v>
      </c>
    </row>
    <row r="346" spans="1:14">
      <c r="A346" t="s">
        <v>542</v>
      </c>
      <c r="B346" s="6">
        <v>45719</v>
      </c>
      <c r="C346" t="s">
        <v>229</v>
      </c>
      <c r="D346" t="s">
        <v>71</v>
      </c>
      <c r="E346" t="s">
        <v>53</v>
      </c>
      <c r="F346" t="s">
        <v>162</v>
      </c>
      <c r="G346">
        <v>2</v>
      </c>
      <c r="H346" s="7">
        <v>12000</v>
      </c>
      <c r="I346" s="8">
        <v>0.05</v>
      </c>
      <c r="J346" s="7">
        <v>22800</v>
      </c>
      <c r="K346" s="7">
        <v>1580.68</v>
      </c>
      <c r="L346" t="s">
        <v>49</v>
      </c>
      <c r="M346" t="s">
        <v>75</v>
      </c>
      <c r="N346" s="9">
        <f>SalesData[[#This Row],[Profit]]/SalesData[[#This Row],[Sales]]</f>
        <v>6.93280701754386E-2</v>
      </c>
    </row>
    <row r="347" spans="1:14">
      <c r="A347" t="s">
        <v>543</v>
      </c>
      <c r="B347" s="6">
        <v>45761</v>
      </c>
      <c r="C347" t="s">
        <v>265</v>
      </c>
      <c r="D347" t="s">
        <v>56</v>
      </c>
      <c r="E347" t="s">
        <v>41</v>
      </c>
      <c r="F347" t="s">
        <v>121</v>
      </c>
      <c r="G347">
        <v>1</v>
      </c>
      <c r="H347" s="7">
        <v>450</v>
      </c>
      <c r="I347" s="8">
        <v>0.15</v>
      </c>
      <c r="J347" s="7">
        <v>382.5</v>
      </c>
      <c r="K347" s="7">
        <v>44.57</v>
      </c>
      <c r="L347" t="s">
        <v>43</v>
      </c>
      <c r="M347" t="s">
        <v>75</v>
      </c>
      <c r="N347" s="9">
        <f>SalesData[[#This Row],[Profit]]/SalesData[[#This Row],[Sales]]</f>
        <v>0.11652287581699347</v>
      </c>
    </row>
    <row r="348" spans="1:14">
      <c r="A348" t="s">
        <v>544</v>
      </c>
      <c r="B348" s="6">
        <v>45799</v>
      </c>
      <c r="C348" t="s">
        <v>502</v>
      </c>
      <c r="D348" t="s">
        <v>52</v>
      </c>
      <c r="E348" t="s">
        <v>47</v>
      </c>
      <c r="F348" t="s">
        <v>60</v>
      </c>
      <c r="G348">
        <v>1</v>
      </c>
      <c r="H348" s="7">
        <v>2500</v>
      </c>
      <c r="I348" s="8">
        <v>0.15</v>
      </c>
      <c r="J348" s="7">
        <v>2125</v>
      </c>
      <c r="K348" s="7">
        <v>109.32</v>
      </c>
      <c r="L348" t="s">
        <v>43</v>
      </c>
      <c r="M348" t="s">
        <v>44</v>
      </c>
      <c r="N348" s="9">
        <f>SalesData[[#This Row],[Profit]]/SalesData[[#This Row],[Sales]]</f>
        <v>5.1444705882352941E-2</v>
      </c>
    </row>
    <row r="349" spans="1:14">
      <c r="A349" t="s">
        <v>545</v>
      </c>
      <c r="B349" s="6">
        <v>45712</v>
      </c>
      <c r="C349" t="s">
        <v>106</v>
      </c>
      <c r="D349" t="s">
        <v>56</v>
      </c>
      <c r="E349" t="s">
        <v>41</v>
      </c>
      <c r="F349" t="s">
        <v>91</v>
      </c>
      <c r="G349">
        <v>3</v>
      </c>
      <c r="H349" s="7">
        <v>220</v>
      </c>
      <c r="I349" s="8">
        <v>0.15</v>
      </c>
      <c r="J349" s="7">
        <v>561</v>
      </c>
      <c r="K349" s="7">
        <v>74.2</v>
      </c>
      <c r="L349" t="s">
        <v>43</v>
      </c>
      <c r="M349" t="s">
        <v>75</v>
      </c>
      <c r="N349" s="9">
        <f>SalesData[[#This Row],[Profit]]/SalesData[[#This Row],[Sales]]</f>
        <v>0.13226381461675579</v>
      </c>
    </row>
    <row r="350" spans="1:14">
      <c r="A350" t="s">
        <v>546</v>
      </c>
      <c r="B350" s="6">
        <v>45677</v>
      </c>
      <c r="C350" t="s">
        <v>327</v>
      </c>
      <c r="D350" t="s">
        <v>56</v>
      </c>
      <c r="E350" t="s">
        <v>66</v>
      </c>
      <c r="F350" t="s">
        <v>78</v>
      </c>
      <c r="G350">
        <v>5</v>
      </c>
      <c r="H350" s="7">
        <v>700</v>
      </c>
      <c r="I350" s="8">
        <v>0.2</v>
      </c>
      <c r="J350" s="7">
        <v>2800</v>
      </c>
      <c r="K350" s="7">
        <v>333</v>
      </c>
      <c r="L350" t="s">
        <v>57</v>
      </c>
      <c r="M350" t="s">
        <v>44</v>
      </c>
      <c r="N350" s="9">
        <f>SalesData[[#This Row],[Profit]]/SalesData[[#This Row],[Sales]]</f>
        <v>0.11892857142857143</v>
      </c>
    </row>
    <row r="351" spans="1:14">
      <c r="A351" t="s">
        <v>547</v>
      </c>
      <c r="B351" s="6">
        <v>45860</v>
      </c>
      <c r="C351" t="s">
        <v>164</v>
      </c>
      <c r="D351" t="s">
        <v>71</v>
      </c>
      <c r="E351" t="s">
        <v>47</v>
      </c>
      <c r="F351" t="s">
        <v>60</v>
      </c>
      <c r="G351">
        <v>3</v>
      </c>
      <c r="H351" s="7">
        <v>2500</v>
      </c>
      <c r="I351" s="8">
        <v>0.1</v>
      </c>
      <c r="J351" s="7">
        <v>6750</v>
      </c>
      <c r="K351" s="7">
        <v>325.60000000000002</v>
      </c>
      <c r="L351" t="s">
        <v>68</v>
      </c>
      <c r="M351" t="s">
        <v>75</v>
      </c>
      <c r="N351" s="9">
        <f>SalesData[[#This Row],[Profit]]/SalesData[[#This Row],[Sales]]</f>
        <v>4.8237037037037044E-2</v>
      </c>
    </row>
  </sheetData>
  <conditionalFormatting sqref="A2:A351">
    <cfRule type="duplicateValues" dxfId="11" priority="4"/>
    <cfRule type="expression" dxfId="10" priority="5">
      <formula>COUNTIF($A$2:$A$351,A2)&gt;1</formula>
    </cfRule>
  </conditionalFormatting>
  <conditionalFormatting sqref="B1:B1048576">
    <cfRule type="containsText" dxfId="9" priority="3" operator="containsText" text="          ">
      <formula>NOT(ISERROR(SEARCH("          ",B1)))</formula>
    </cfRule>
  </conditionalFormatting>
  <conditionalFormatting sqref="C1:C1048576">
    <cfRule type="containsText" dxfId="8" priority="2" operator="containsText" text="      ">
      <formula>NOT(ISERROR(SEARCH("      ",C1)))</formula>
    </cfRule>
  </conditionalFormatting>
  <conditionalFormatting sqref="C2:C351">
    <cfRule type="containsText" dxfId="7" priority="1" operator="containsText" text="          ">
      <formula>NOT(ISERROR(SEARCH("          ",C2)))</formula>
    </cfRule>
  </conditionalFormatting>
  <conditionalFormatting sqref="C2:D351">
    <cfRule type="expression" dxfId="6" priority="6">
      <formula>C2=""</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ADA8-B98C-4BDE-B7FF-63A24E63BDB9}">
  <dimension ref="A1:E9"/>
  <sheetViews>
    <sheetView workbookViewId="0">
      <selection activeCell="E13" sqref="E13"/>
    </sheetView>
  </sheetViews>
  <sheetFormatPr defaultRowHeight="13.8"/>
  <cols>
    <col min="1" max="1" width="20.19921875" customWidth="1"/>
    <col min="2" max="2" width="15.5" customWidth="1"/>
    <col min="3" max="3" width="51.59765625" customWidth="1"/>
    <col min="4" max="4" width="57.796875" customWidth="1"/>
    <col min="5" max="5" width="34.3984375" customWidth="1"/>
  </cols>
  <sheetData>
    <row r="1" spans="1:5" s="59" customFormat="1">
      <c r="A1" s="58" t="s">
        <v>639</v>
      </c>
      <c r="B1" s="58" t="s">
        <v>640</v>
      </c>
      <c r="C1" s="58" t="s">
        <v>641</v>
      </c>
      <c r="D1" s="58" t="s">
        <v>642</v>
      </c>
      <c r="E1" s="58" t="s">
        <v>643</v>
      </c>
    </row>
    <row r="2" spans="1:5" s="19" customFormat="1" ht="27.6">
      <c r="A2" s="60" t="s">
        <v>644</v>
      </c>
      <c r="B2" s="60" t="s">
        <v>25</v>
      </c>
      <c r="C2" s="60" t="s">
        <v>645</v>
      </c>
      <c r="D2" s="60" t="s">
        <v>646</v>
      </c>
      <c r="E2" s="60" t="s">
        <v>647</v>
      </c>
    </row>
    <row r="3" spans="1:5" s="19" customFormat="1" ht="27.6">
      <c r="A3" s="60" t="s">
        <v>648</v>
      </c>
      <c r="B3" s="60" t="s">
        <v>27</v>
      </c>
      <c r="C3" s="60" t="s">
        <v>649</v>
      </c>
      <c r="D3" s="60" t="s">
        <v>650</v>
      </c>
      <c r="E3" s="60" t="s">
        <v>651</v>
      </c>
    </row>
    <row r="4" spans="1:5" s="19" customFormat="1" ht="27.6">
      <c r="A4" s="60" t="s">
        <v>648</v>
      </c>
      <c r="B4" s="60" t="s">
        <v>28</v>
      </c>
      <c r="C4" s="60" t="s">
        <v>652</v>
      </c>
      <c r="D4" s="60" t="s">
        <v>650</v>
      </c>
      <c r="E4" s="60" t="s">
        <v>653</v>
      </c>
    </row>
    <row r="5" spans="1:5" ht="27.6">
      <c r="A5" s="61" t="s">
        <v>654</v>
      </c>
      <c r="B5" s="61" t="s">
        <v>29</v>
      </c>
      <c r="C5" s="61" t="s">
        <v>655</v>
      </c>
      <c r="D5" s="61" t="s">
        <v>656</v>
      </c>
      <c r="E5" s="61" t="s">
        <v>657</v>
      </c>
    </row>
    <row r="6" spans="1:5" s="19" customFormat="1" ht="27.6">
      <c r="A6" s="60" t="s">
        <v>658</v>
      </c>
      <c r="B6" s="60" t="s">
        <v>34</v>
      </c>
      <c r="C6" s="60" t="s">
        <v>659</v>
      </c>
      <c r="D6" s="60" t="s">
        <v>660</v>
      </c>
      <c r="E6" s="60" t="s">
        <v>661</v>
      </c>
    </row>
    <row r="7" spans="1:5" s="19" customFormat="1" ht="27.6">
      <c r="A7" s="60" t="s">
        <v>658</v>
      </c>
      <c r="B7" s="60" t="s">
        <v>662</v>
      </c>
      <c r="C7" s="60" t="s">
        <v>663</v>
      </c>
      <c r="D7" s="60" t="s">
        <v>664</v>
      </c>
      <c r="E7" s="60" t="s">
        <v>665</v>
      </c>
    </row>
    <row r="8" spans="1:5" s="19" customFormat="1" ht="27.6">
      <c r="A8" s="60" t="s">
        <v>658</v>
      </c>
      <c r="B8" s="60" t="s">
        <v>666</v>
      </c>
      <c r="C8" s="60" t="s">
        <v>667</v>
      </c>
      <c r="D8" s="60" t="s">
        <v>668</v>
      </c>
      <c r="E8" s="60" t="s">
        <v>669</v>
      </c>
    </row>
    <row r="9" spans="1:5" s="19" customFormat="1" ht="27.6">
      <c r="A9" s="60" t="s">
        <v>658</v>
      </c>
      <c r="B9" s="60" t="s">
        <v>25</v>
      </c>
      <c r="C9" s="60" t="s">
        <v>670</v>
      </c>
      <c r="D9" s="60" t="s">
        <v>671</v>
      </c>
      <c r="E9" s="60" t="s">
        <v>672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tabSelected="1" workbookViewId="0">
      <selection activeCell="C11" sqref="C11"/>
    </sheetView>
  </sheetViews>
  <sheetFormatPr defaultRowHeight="13.8"/>
  <cols>
    <col min="1" max="1" width="18" customWidth="1"/>
    <col min="2" max="2" width="70" customWidth="1"/>
    <col min="3" max="3" width="28" customWidth="1"/>
  </cols>
  <sheetData>
    <row r="1" spans="1:3">
      <c r="A1" s="4" t="s">
        <v>548</v>
      </c>
      <c r="B1" s="4" t="s">
        <v>549</v>
      </c>
      <c r="C1" s="4" t="s">
        <v>550</v>
      </c>
    </row>
    <row r="2" spans="1:3">
      <c r="A2" s="3" t="s">
        <v>25</v>
      </c>
      <c r="B2" s="3" t="s">
        <v>551</v>
      </c>
      <c r="C2" s="3" t="s">
        <v>552</v>
      </c>
    </row>
    <row r="3" spans="1:3">
      <c r="A3" s="3" t="s">
        <v>26</v>
      </c>
      <c r="B3" s="3" t="s">
        <v>553</v>
      </c>
      <c r="C3" s="3" t="s">
        <v>554</v>
      </c>
    </row>
    <row r="4" spans="1:3">
      <c r="A4" s="3" t="s">
        <v>27</v>
      </c>
      <c r="B4" s="3" t="s">
        <v>555</v>
      </c>
      <c r="C4" s="3" t="s">
        <v>556</v>
      </c>
    </row>
    <row r="5" spans="1:3">
      <c r="A5" s="3" t="s">
        <v>28</v>
      </c>
      <c r="B5" s="3" t="s">
        <v>557</v>
      </c>
      <c r="C5" s="3" t="s">
        <v>558</v>
      </c>
    </row>
    <row r="6" spans="1:3">
      <c r="A6" s="3" t="s">
        <v>29</v>
      </c>
      <c r="B6" s="3" t="s">
        <v>559</v>
      </c>
      <c r="C6" s="3" t="s">
        <v>47</v>
      </c>
    </row>
    <row r="7" spans="1:3">
      <c r="A7" s="3" t="s">
        <v>30</v>
      </c>
      <c r="B7" s="3" t="s">
        <v>560</v>
      </c>
      <c r="C7" s="3" t="s">
        <v>48</v>
      </c>
    </row>
    <row r="8" spans="1:3">
      <c r="A8" s="3" t="s">
        <v>31</v>
      </c>
      <c r="B8" s="3" t="s">
        <v>561</v>
      </c>
      <c r="C8" s="3" t="s">
        <v>562</v>
      </c>
    </row>
    <row r="9" spans="1:3">
      <c r="A9" s="3" t="s">
        <v>32</v>
      </c>
      <c r="B9" s="3" t="s">
        <v>563</v>
      </c>
      <c r="C9" s="3" t="s">
        <v>564</v>
      </c>
    </row>
    <row r="10" spans="1:3">
      <c r="A10" s="3" t="s">
        <v>33</v>
      </c>
      <c r="B10" s="3" t="s">
        <v>565</v>
      </c>
      <c r="C10" s="3" t="s">
        <v>566</v>
      </c>
    </row>
    <row r="11" spans="1:3">
      <c r="A11" s="3" t="s">
        <v>34</v>
      </c>
      <c r="B11" s="3" t="s">
        <v>567</v>
      </c>
      <c r="C11" s="3" t="s">
        <v>568</v>
      </c>
    </row>
    <row r="12" spans="1:3">
      <c r="A12" s="3" t="s">
        <v>35</v>
      </c>
      <c r="B12" s="3" t="s">
        <v>569</v>
      </c>
      <c r="C12" s="3" t="s">
        <v>570</v>
      </c>
    </row>
    <row r="13" spans="1:3">
      <c r="A13" s="3" t="s">
        <v>36</v>
      </c>
      <c r="B13" s="3" t="s">
        <v>571</v>
      </c>
      <c r="C13" s="3" t="s">
        <v>572</v>
      </c>
    </row>
    <row r="14" spans="1:3">
      <c r="A14" s="3" t="s">
        <v>37</v>
      </c>
      <c r="B14" s="3" t="s">
        <v>573</v>
      </c>
      <c r="C14" s="3" t="s">
        <v>574</v>
      </c>
    </row>
  </sheetData>
  <pageMargins left="0.7" right="0.7" top="0.75" bottom="0.75" header="0.3" footer="0.3"/>
  <ignoredErrors>
    <ignoredError sqref="C1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51"/>
  <sheetViews>
    <sheetView workbookViewId="0">
      <selection activeCell="H109" sqref="H109"/>
    </sheetView>
  </sheetViews>
  <sheetFormatPr defaultRowHeight="13.8"/>
  <cols>
    <col min="1" max="3" width="14" customWidth="1"/>
    <col min="4" max="4" width="12" customWidth="1"/>
    <col min="5" max="6" width="18" customWidth="1"/>
    <col min="7" max="7" width="10" customWidth="1"/>
    <col min="8" max="8" width="14" customWidth="1"/>
    <col min="9" max="9" width="10" customWidth="1"/>
    <col min="10" max="11" width="14" customWidth="1"/>
    <col min="12" max="13" width="16" customWidth="1"/>
  </cols>
  <sheetData>
    <row r="1" spans="1:13" ht="27.6">
      <c r="A1" s="5" t="s">
        <v>25</v>
      </c>
      <c r="B1" s="5" t="s">
        <v>26</v>
      </c>
      <c r="C1" s="5" t="s">
        <v>27</v>
      </c>
      <c r="D1" s="5" t="s">
        <v>28</v>
      </c>
      <c r="E1" s="5" t="s">
        <v>29</v>
      </c>
      <c r="F1" s="5" t="s">
        <v>30</v>
      </c>
      <c r="G1" s="5" t="s">
        <v>31</v>
      </c>
      <c r="H1" s="5" t="s">
        <v>32</v>
      </c>
      <c r="I1" s="5" t="s">
        <v>33</v>
      </c>
      <c r="J1" s="5" t="s">
        <v>34</v>
      </c>
      <c r="K1" s="5" t="s">
        <v>35</v>
      </c>
      <c r="L1" s="5" t="s">
        <v>36</v>
      </c>
      <c r="M1" s="5" t="s">
        <v>37</v>
      </c>
    </row>
    <row r="2" spans="1:13">
      <c r="A2" t="s">
        <v>38</v>
      </c>
      <c r="B2" s="6">
        <v>45985</v>
      </c>
      <c r="C2" t="s">
        <v>39</v>
      </c>
      <c r="D2" t="s">
        <v>40</v>
      </c>
      <c r="E2" t="s">
        <v>41</v>
      </c>
      <c r="F2" t="s">
        <v>42</v>
      </c>
      <c r="G2">
        <v>2</v>
      </c>
      <c r="H2" s="7">
        <v>120</v>
      </c>
      <c r="I2" s="8">
        <v>0.05</v>
      </c>
      <c r="J2" s="7">
        <v>228</v>
      </c>
      <c r="K2" s="7">
        <v>41.12</v>
      </c>
      <c r="L2" t="s">
        <v>43</v>
      </c>
      <c r="M2" t="s">
        <v>44</v>
      </c>
    </row>
    <row r="3" spans="1:13">
      <c r="A3" t="s">
        <v>45</v>
      </c>
      <c r="B3" s="6">
        <v>45960</v>
      </c>
      <c r="C3" t="s">
        <v>46</v>
      </c>
      <c r="D3" t="s">
        <v>40</v>
      </c>
      <c r="E3" t="s">
        <v>47</v>
      </c>
      <c r="F3" t="s">
        <v>48</v>
      </c>
      <c r="G3">
        <v>2</v>
      </c>
      <c r="H3" s="7">
        <v>52000</v>
      </c>
      <c r="I3" s="8">
        <v>0.05</v>
      </c>
      <c r="J3" s="7">
        <v>98800</v>
      </c>
      <c r="K3" s="7">
        <v>14163.66</v>
      </c>
      <c r="L3" t="s">
        <v>49</v>
      </c>
      <c r="M3" t="s">
        <v>44</v>
      </c>
    </row>
    <row r="4" spans="1:13">
      <c r="A4" t="s">
        <v>50</v>
      </c>
      <c r="B4" s="6">
        <v>45990</v>
      </c>
      <c r="C4" t="s">
        <v>51</v>
      </c>
      <c r="D4" t="s">
        <v>52</v>
      </c>
      <c r="E4" t="s">
        <v>53</v>
      </c>
      <c r="F4" t="s">
        <v>54</v>
      </c>
      <c r="G4">
        <v>5</v>
      </c>
      <c r="H4" s="7">
        <v>7800</v>
      </c>
      <c r="I4" s="8">
        <v>0.1</v>
      </c>
      <c r="J4" s="7">
        <v>35100</v>
      </c>
      <c r="K4" s="7">
        <v>6125.26</v>
      </c>
      <c r="L4" t="s">
        <v>49</v>
      </c>
      <c r="M4" t="s">
        <v>44</v>
      </c>
    </row>
    <row r="5" spans="1:13">
      <c r="A5" t="s">
        <v>55</v>
      </c>
      <c r="B5" s="6">
        <v>46015</v>
      </c>
      <c r="C5" t="s">
        <v>46</v>
      </c>
      <c r="D5" t="s">
        <v>56</v>
      </c>
      <c r="E5" t="s">
        <v>41</v>
      </c>
      <c r="F5" t="s">
        <v>42</v>
      </c>
      <c r="G5">
        <v>2</v>
      </c>
      <c r="H5" s="7">
        <v>120</v>
      </c>
      <c r="I5" s="8">
        <v>0.1</v>
      </c>
      <c r="J5" s="7">
        <v>216</v>
      </c>
      <c r="K5" s="7">
        <v>13.25</v>
      </c>
      <c r="L5" t="s">
        <v>57</v>
      </c>
      <c r="M5" t="s">
        <v>44</v>
      </c>
    </row>
    <row r="6" spans="1:13">
      <c r="A6" t="s">
        <v>58</v>
      </c>
      <c r="B6" s="6">
        <v>45841</v>
      </c>
      <c r="C6" t="s">
        <v>59</v>
      </c>
      <c r="D6" t="s">
        <v>56</v>
      </c>
      <c r="E6" t="s">
        <v>47</v>
      </c>
      <c r="F6" t="s">
        <v>60</v>
      </c>
      <c r="G6">
        <v>5</v>
      </c>
      <c r="H6" s="7">
        <v>2500</v>
      </c>
      <c r="I6" s="8">
        <v>0</v>
      </c>
      <c r="J6" s="7">
        <v>12500</v>
      </c>
      <c r="K6" s="7">
        <v>2946.23</v>
      </c>
      <c r="L6" t="s">
        <v>57</v>
      </c>
      <c r="M6" t="s">
        <v>44</v>
      </c>
    </row>
    <row r="7" spans="1:13">
      <c r="A7" t="s">
        <v>61</v>
      </c>
      <c r="B7" s="6">
        <v>45940</v>
      </c>
      <c r="C7" t="s">
        <v>62</v>
      </c>
      <c r="D7" t="s">
        <v>56</v>
      </c>
      <c r="E7" t="s">
        <v>53</v>
      </c>
      <c r="F7" t="s">
        <v>63</v>
      </c>
      <c r="G7">
        <v>1</v>
      </c>
      <c r="H7" s="7">
        <v>8500</v>
      </c>
      <c r="I7" s="8">
        <v>0.05</v>
      </c>
      <c r="J7" s="7">
        <v>8075</v>
      </c>
      <c r="K7" s="7">
        <v>1503.49</v>
      </c>
      <c r="L7" t="s">
        <v>49</v>
      </c>
      <c r="M7" t="s">
        <v>44</v>
      </c>
    </row>
    <row r="8" spans="1:13">
      <c r="A8" t="s">
        <v>64</v>
      </c>
      <c r="B8" s="6">
        <v>45709</v>
      </c>
      <c r="C8" t="s">
        <v>65</v>
      </c>
      <c r="D8" t="s">
        <v>56</v>
      </c>
      <c r="E8" t="s">
        <v>66</v>
      </c>
      <c r="F8" t="s">
        <v>67</v>
      </c>
      <c r="G8">
        <v>2</v>
      </c>
      <c r="H8" s="7">
        <v>2200</v>
      </c>
      <c r="I8" s="8">
        <v>0.1</v>
      </c>
      <c r="J8" s="7">
        <v>3960</v>
      </c>
      <c r="K8" s="7">
        <v>403.3</v>
      </c>
      <c r="L8" t="s">
        <v>68</v>
      </c>
      <c r="M8" t="s">
        <v>44</v>
      </c>
    </row>
    <row r="9" spans="1:13">
      <c r="A9" t="s">
        <v>69</v>
      </c>
      <c r="B9" s="6">
        <v>45969</v>
      </c>
      <c r="C9" t="s">
        <v>70</v>
      </c>
      <c r="D9" t="s">
        <v>71</v>
      </c>
      <c r="E9" t="s">
        <v>53</v>
      </c>
      <c r="F9" t="s">
        <v>54</v>
      </c>
      <c r="G9">
        <v>4</v>
      </c>
      <c r="H9" s="7">
        <v>7800</v>
      </c>
      <c r="I9" s="8">
        <v>0.1</v>
      </c>
      <c r="J9" s="7">
        <v>28080</v>
      </c>
      <c r="K9" s="7">
        <v>5709.33</v>
      </c>
      <c r="L9" t="s">
        <v>43</v>
      </c>
      <c r="M9" t="s">
        <v>44</v>
      </c>
    </row>
    <row r="10" spans="1:13">
      <c r="A10" t="s">
        <v>72</v>
      </c>
      <c r="B10" s="6">
        <v>46008</v>
      </c>
      <c r="C10" t="s">
        <v>73</v>
      </c>
      <c r="D10" t="s">
        <v>40</v>
      </c>
      <c r="E10" t="s">
        <v>53</v>
      </c>
      <c r="F10" t="s">
        <v>63</v>
      </c>
      <c r="G10">
        <v>3</v>
      </c>
      <c r="H10" s="7">
        <v>8500</v>
      </c>
      <c r="I10" s="8">
        <v>0.15</v>
      </c>
      <c r="J10" s="7">
        <v>21675</v>
      </c>
      <c r="K10" s="7">
        <v>1524.59</v>
      </c>
      <c r="L10" t="s">
        <v>74</v>
      </c>
      <c r="M10" t="s">
        <v>75</v>
      </c>
    </row>
    <row r="11" spans="1:13">
      <c r="A11" t="s">
        <v>76</v>
      </c>
      <c r="B11" s="6">
        <v>45766</v>
      </c>
      <c r="C11" t="s">
        <v>77</v>
      </c>
      <c r="D11" t="s">
        <v>52</v>
      </c>
      <c r="E11" t="s">
        <v>66</v>
      </c>
      <c r="F11" t="s">
        <v>78</v>
      </c>
      <c r="G11">
        <v>3</v>
      </c>
      <c r="H11" s="7">
        <v>700</v>
      </c>
      <c r="I11" s="8">
        <v>0.05</v>
      </c>
      <c r="J11" s="7">
        <v>1995</v>
      </c>
      <c r="K11" s="7">
        <v>203.41</v>
      </c>
      <c r="L11" t="s">
        <v>43</v>
      </c>
      <c r="M11" t="s">
        <v>75</v>
      </c>
    </row>
    <row r="12" spans="1:13">
      <c r="A12" t="s">
        <v>79</v>
      </c>
      <c r="B12" s="6">
        <v>45957</v>
      </c>
      <c r="C12" t="s">
        <v>80</v>
      </c>
      <c r="D12" t="s">
        <v>52</v>
      </c>
      <c r="E12" t="s">
        <v>41</v>
      </c>
      <c r="F12" t="s">
        <v>42</v>
      </c>
      <c r="G12">
        <v>2</v>
      </c>
      <c r="H12" s="7">
        <v>120</v>
      </c>
      <c r="I12" s="8">
        <v>0.2</v>
      </c>
      <c r="J12" s="7">
        <v>192</v>
      </c>
      <c r="K12" s="7">
        <v>17.079999999999998</v>
      </c>
      <c r="L12" t="s">
        <v>49</v>
      </c>
      <c r="M12" t="s">
        <v>44</v>
      </c>
    </row>
    <row r="13" spans="1:13">
      <c r="A13" t="s">
        <v>81</v>
      </c>
      <c r="B13" s="6">
        <v>45736</v>
      </c>
      <c r="C13" t="s">
        <v>82</v>
      </c>
      <c r="D13" t="s">
        <v>52</v>
      </c>
      <c r="E13" t="s">
        <v>47</v>
      </c>
      <c r="F13" t="s">
        <v>60</v>
      </c>
      <c r="G13">
        <v>4</v>
      </c>
      <c r="H13" s="7">
        <v>2500</v>
      </c>
      <c r="I13" s="8">
        <v>0.2</v>
      </c>
      <c r="J13" s="7">
        <v>8000</v>
      </c>
      <c r="K13" s="7">
        <v>1355.04</v>
      </c>
      <c r="L13" t="s">
        <v>43</v>
      </c>
      <c r="M13" t="s">
        <v>75</v>
      </c>
    </row>
    <row r="14" spans="1:13">
      <c r="A14" t="s">
        <v>83</v>
      </c>
      <c r="B14" s="6">
        <v>45941</v>
      </c>
      <c r="C14" t="s">
        <v>84</v>
      </c>
      <c r="D14" t="s">
        <v>40</v>
      </c>
      <c r="E14" t="s">
        <v>41</v>
      </c>
      <c r="F14" t="s">
        <v>85</v>
      </c>
      <c r="G14">
        <v>1</v>
      </c>
      <c r="H14" s="7">
        <v>1600</v>
      </c>
      <c r="I14" s="8">
        <v>0.1</v>
      </c>
      <c r="J14" s="7">
        <v>1440</v>
      </c>
      <c r="K14" s="7">
        <v>164.97</v>
      </c>
      <c r="L14" t="s">
        <v>57</v>
      </c>
      <c r="M14" t="s">
        <v>44</v>
      </c>
    </row>
    <row r="15" spans="1:13">
      <c r="A15" t="s">
        <v>86</v>
      </c>
      <c r="B15" s="6">
        <v>45792</v>
      </c>
      <c r="C15" t="s">
        <v>87</v>
      </c>
      <c r="D15" t="s">
        <v>71</v>
      </c>
      <c r="E15" t="s">
        <v>47</v>
      </c>
      <c r="F15" t="s">
        <v>88</v>
      </c>
      <c r="G15">
        <v>6</v>
      </c>
      <c r="H15" s="7">
        <v>1800</v>
      </c>
      <c r="I15" s="8">
        <v>0.2</v>
      </c>
      <c r="J15" s="7">
        <v>8640</v>
      </c>
      <c r="K15" s="7">
        <v>928.24</v>
      </c>
      <c r="L15" t="s">
        <v>74</v>
      </c>
      <c r="M15" t="s">
        <v>75</v>
      </c>
    </row>
    <row r="16" spans="1:13">
      <c r="A16" t="s">
        <v>89</v>
      </c>
      <c r="B16" s="6">
        <v>45740</v>
      </c>
      <c r="C16" t="s">
        <v>90</v>
      </c>
      <c r="D16" t="s">
        <v>40</v>
      </c>
      <c r="E16" t="s">
        <v>41</v>
      </c>
      <c r="F16" t="s">
        <v>91</v>
      </c>
      <c r="G16">
        <v>1</v>
      </c>
      <c r="H16" s="7">
        <v>220</v>
      </c>
      <c r="I16" s="8">
        <v>0</v>
      </c>
      <c r="J16" s="7">
        <v>220</v>
      </c>
      <c r="K16" s="7">
        <v>50.3</v>
      </c>
      <c r="L16" t="s">
        <v>68</v>
      </c>
      <c r="M16" t="s">
        <v>44</v>
      </c>
    </row>
    <row r="17" spans="1:13">
      <c r="A17" t="s">
        <v>92</v>
      </c>
      <c r="B17" s="6">
        <v>45687</v>
      </c>
      <c r="C17" t="s">
        <v>93</v>
      </c>
      <c r="D17" t="s">
        <v>40</v>
      </c>
      <c r="E17" t="s">
        <v>47</v>
      </c>
      <c r="F17" t="s">
        <v>60</v>
      </c>
      <c r="G17">
        <v>1</v>
      </c>
      <c r="H17" s="7">
        <v>2500</v>
      </c>
      <c r="I17" s="8">
        <v>0.2</v>
      </c>
      <c r="J17" s="7">
        <v>2000</v>
      </c>
      <c r="K17" s="7">
        <v>265.07</v>
      </c>
      <c r="L17" t="s">
        <v>74</v>
      </c>
      <c r="M17" t="s">
        <v>75</v>
      </c>
    </row>
    <row r="18" spans="1:13">
      <c r="A18" t="s">
        <v>94</v>
      </c>
      <c r="B18" s="6">
        <v>45939</v>
      </c>
      <c r="C18" t="s">
        <v>95</v>
      </c>
      <c r="D18" t="s">
        <v>56</v>
      </c>
      <c r="E18" t="s">
        <v>66</v>
      </c>
      <c r="F18" t="s">
        <v>78</v>
      </c>
      <c r="G18">
        <v>5</v>
      </c>
      <c r="H18" s="7">
        <v>700</v>
      </c>
      <c r="I18" s="8">
        <v>0.05</v>
      </c>
      <c r="J18" s="7">
        <v>3325</v>
      </c>
      <c r="K18" s="7">
        <v>587.1</v>
      </c>
      <c r="L18" t="s">
        <v>57</v>
      </c>
      <c r="M18" t="s">
        <v>75</v>
      </c>
    </row>
    <row r="19" spans="1:13">
      <c r="A19" t="s">
        <v>96</v>
      </c>
      <c r="B19" s="6">
        <v>45882</v>
      </c>
      <c r="C19" t="s">
        <v>97</v>
      </c>
      <c r="D19" t="s">
        <v>52</v>
      </c>
      <c r="E19" t="s">
        <v>47</v>
      </c>
      <c r="F19" t="s">
        <v>98</v>
      </c>
      <c r="G19">
        <v>2</v>
      </c>
      <c r="H19" s="7">
        <v>14500</v>
      </c>
      <c r="I19" s="8">
        <v>0</v>
      </c>
      <c r="J19" s="7">
        <v>29000</v>
      </c>
      <c r="K19" s="7">
        <v>3888.72</v>
      </c>
      <c r="L19" t="s">
        <v>43</v>
      </c>
      <c r="M19" t="s">
        <v>44</v>
      </c>
    </row>
    <row r="20" spans="1:13">
      <c r="A20" t="s">
        <v>99</v>
      </c>
      <c r="B20" s="6">
        <v>45959</v>
      </c>
      <c r="C20" t="s">
        <v>100</v>
      </c>
      <c r="D20" t="s">
        <v>40</v>
      </c>
      <c r="E20" t="s">
        <v>47</v>
      </c>
      <c r="F20" t="s">
        <v>48</v>
      </c>
      <c r="G20">
        <v>2</v>
      </c>
      <c r="H20" s="7">
        <v>52000</v>
      </c>
      <c r="I20" s="8">
        <v>0</v>
      </c>
      <c r="J20" s="7">
        <v>104000</v>
      </c>
      <c r="K20" s="7">
        <v>23386.19</v>
      </c>
      <c r="L20" t="s">
        <v>68</v>
      </c>
      <c r="M20" t="s">
        <v>44</v>
      </c>
    </row>
    <row r="21" spans="1:13">
      <c r="A21" t="s">
        <v>101</v>
      </c>
      <c r="B21" s="6">
        <v>45921</v>
      </c>
      <c r="C21" t="s">
        <v>102</v>
      </c>
      <c r="D21" t="s">
        <v>56</v>
      </c>
      <c r="E21" t="s">
        <v>66</v>
      </c>
      <c r="F21" t="s">
        <v>78</v>
      </c>
      <c r="G21">
        <v>5</v>
      </c>
      <c r="H21" s="7">
        <v>700</v>
      </c>
      <c r="I21" s="8">
        <v>0.05</v>
      </c>
      <c r="J21" s="7">
        <v>3325</v>
      </c>
      <c r="K21" s="7">
        <v>592.64</v>
      </c>
      <c r="L21" t="s">
        <v>43</v>
      </c>
      <c r="M21" t="s">
        <v>75</v>
      </c>
    </row>
    <row r="22" spans="1:13">
      <c r="A22" t="s">
        <v>103</v>
      </c>
      <c r="B22" s="6">
        <v>45782</v>
      </c>
      <c r="C22" t="s">
        <v>104</v>
      </c>
      <c r="D22" t="s">
        <v>52</v>
      </c>
      <c r="E22" t="s">
        <v>53</v>
      </c>
      <c r="F22" t="s">
        <v>63</v>
      </c>
      <c r="G22">
        <v>1</v>
      </c>
      <c r="H22" s="7">
        <v>8500</v>
      </c>
      <c r="I22" s="8">
        <v>0.15</v>
      </c>
      <c r="J22" s="7">
        <v>7225</v>
      </c>
      <c r="K22" s="7">
        <v>608.26</v>
      </c>
      <c r="L22" t="s">
        <v>57</v>
      </c>
      <c r="M22" t="s">
        <v>75</v>
      </c>
    </row>
    <row r="23" spans="1:13">
      <c r="A23" t="s">
        <v>105</v>
      </c>
      <c r="B23" s="6">
        <v>45685</v>
      </c>
      <c r="C23" t="s">
        <v>106</v>
      </c>
      <c r="D23" t="s">
        <v>40</v>
      </c>
      <c r="E23" t="s">
        <v>66</v>
      </c>
      <c r="F23" t="s">
        <v>67</v>
      </c>
      <c r="G23">
        <v>1</v>
      </c>
      <c r="H23" s="7">
        <v>2200</v>
      </c>
      <c r="I23" s="8">
        <v>0.05</v>
      </c>
      <c r="J23" s="7">
        <v>2090</v>
      </c>
      <c r="K23" s="7">
        <v>194.69</v>
      </c>
      <c r="L23" t="s">
        <v>43</v>
      </c>
      <c r="M23" t="s">
        <v>75</v>
      </c>
    </row>
    <row r="24" spans="1:13">
      <c r="A24" t="s">
        <v>107</v>
      </c>
      <c r="B24" s="6">
        <v>45729</v>
      </c>
      <c r="C24" t="s">
        <v>46</v>
      </c>
      <c r="D24" t="s">
        <v>71</v>
      </c>
      <c r="E24" t="s">
        <v>41</v>
      </c>
      <c r="F24" t="s">
        <v>91</v>
      </c>
      <c r="G24">
        <v>2</v>
      </c>
      <c r="H24" s="7">
        <v>220</v>
      </c>
      <c r="I24" s="8">
        <v>0</v>
      </c>
      <c r="J24" s="7">
        <v>440</v>
      </c>
      <c r="K24" s="7">
        <v>66.400000000000006</v>
      </c>
      <c r="L24" t="s">
        <v>43</v>
      </c>
      <c r="M24" t="s">
        <v>44</v>
      </c>
    </row>
    <row r="25" spans="1:13">
      <c r="A25" t="s">
        <v>108</v>
      </c>
      <c r="B25" s="6">
        <v>45683</v>
      </c>
      <c r="C25" t="s">
        <v>90</v>
      </c>
      <c r="D25" t="s">
        <v>40</v>
      </c>
      <c r="E25" t="s">
        <v>47</v>
      </c>
      <c r="F25" t="s">
        <v>98</v>
      </c>
      <c r="G25">
        <v>2</v>
      </c>
      <c r="H25" s="7">
        <v>14500</v>
      </c>
      <c r="I25" s="8">
        <v>0.15</v>
      </c>
      <c r="J25" s="7">
        <v>24650</v>
      </c>
      <c r="K25" s="7">
        <v>2593.2399999999998</v>
      </c>
      <c r="L25" t="s">
        <v>74</v>
      </c>
      <c r="M25" t="s">
        <v>75</v>
      </c>
    </row>
    <row r="26" spans="1:13">
      <c r="A26" t="s">
        <v>109</v>
      </c>
      <c r="B26" s="6">
        <v>45688</v>
      </c>
      <c r="C26" t="s">
        <v>95</v>
      </c>
      <c r="D26" t="s">
        <v>52</v>
      </c>
      <c r="E26" t="s">
        <v>47</v>
      </c>
      <c r="F26" t="s">
        <v>60</v>
      </c>
      <c r="G26">
        <v>3</v>
      </c>
      <c r="H26" s="7">
        <v>2500</v>
      </c>
      <c r="I26" s="8">
        <v>0.15</v>
      </c>
      <c r="J26" s="7">
        <v>6375</v>
      </c>
      <c r="K26" s="7">
        <v>466.27</v>
      </c>
      <c r="L26" t="s">
        <v>43</v>
      </c>
      <c r="M26" t="s">
        <v>75</v>
      </c>
    </row>
    <row r="27" spans="1:13">
      <c r="A27" t="s">
        <v>110</v>
      </c>
      <c r="B27" s="6">
        <v>45737</v>
      </c>
      <c r="C27" t="s">
        <v>111</v>
      </c>
      <c r="D27" t="s">
        <v>56</v>
      </c>
      <c r="E27" t="s">
        <v>53</v>
      </c>
      <c r="F27" t="s">
        <v>63</v>
      </c>
      <c r="G27">
        <v>5</v>
      </c>
      <c r="H27" s="7">
        <v>8500</v>
      </c>
      <c r="I27" s="8">
        <v>0.2</v>
      </c>
      <c r="J27" s="7">
        <v>34000</v>
      </c>
      <c r="K27" s="7">
        <v>1020</v>
      </c>
      <c r="L27" t="s">
        <v>68</v>
      </c>
      <c r="M27" t="s">
        <v>44</v>
      </c>
    </row>
    <row r="28" spans="1:13">
      <c r="A28" t="s">
        <v>112</v>
      </c>
      <c r="B28" s="6">
        <v>45683</v>
      </c>
      <c r="C28" t="s">
        <v>113</v>
      </c>
      <c r="D28" t="s">
        <v>71</v>
      </c>
      <c r="E28" t="s">
        <v>47</v>
      </c>
      <c r="F28" t="s">
        <v>48</v>
      </c>
      <c r="G28">
        <v>2</v>
      </c>
      <c r="H28" s="7">
        <v>52000</v>
      </c>
      <c r="I28" s="8">
        <v>0</v>
      </c>
      <c r="J28" s="7">
        <v>104000</v>
      </c>
      <c r="K28" s="7">
        <v>18221.38</v>
      </c>
      <c r="L28" t="s">
        <v>74</v>
      </c>
      <c r="M28" t="s">
        <v>75</v>
      </c>
    </row>
    <row r="29" spans="1:13">
      <c r="A29" t="s">
        <v>114</v>
      </c>
      <c r="B29" s="6">
        <v>45719</v>
      </c>
      <c r="C29" t="s">
        <v>115</v>
      </c>
      <c r="D29" t="s">
        <v>40</v>
      </c>
      <c r="E29" t="s">
        <v>47</v>
      </c>
      <c r="F29" t="s">
        <v>60</v>
      </c>
      <c r="G29">
        <v>6</v>
      </c>
      <c r="H29" s="7">
        <v>2500</v>
      </c>
      <c r="I29" s="8">
        <v>0.2</v>
      </c>
      <c r="J29" s="7">
        <v>12000</v>
      </c>
      <c r="K29" s="7">
        <v>1205.24</v>
      </c>
      <c r="L29" t="s">
        <v>68</v>
      </c>
      <c r="M29" t="s">
        <v>75</v>
      </c>
    </row>
    <row r="30" spans="1:13">
      <c r="A30" t="s">
        <v>116</v>
      </c>
      <c r="B30" s="6">
        <v>45762</v>
      </c>
      <c r="C30" t="s">
        <v>117</v>
      </c>
      <c r="D30" t="s">
        <v>71</v>
      </c>
      <c r="E30" t="s">
        <v>41</v>
      </c>
      <c r="F30" t="s">
        <v>91</v>
      </c>
      <c r="G30">
        <v>2</v>
      </c>
      <c r="H30" s="7">
        <v>220</v>
      </c>
      <c r="I30" s="8">
        <v>0.1</v>
      </c>
      <c r="J30" s="7">
        <v>396</v>
      </c>
      <c r="K30" s="7">
        <v>46.79</v>
      </c>
      <c r="L30" t="s">
        <v>49</v>
      </c>
      <c r="M30" t="s">
        <v>44</v>
      </c>
    </row>
    <row r="31" spans="1:13">
      <c r="A31" t="s">
        <v>118</v>
      </c>
      <c r="B31" s="6">
        <v>45892</v>
      </c>
      <c r="C31" t="s">
        <v>106</v>
      </c>
      <c r="D31" t="s">
        <v>40</v>
      </c>
      <c r="E31" t="s">
        <v>53</v>
      </c>
      <c r="F31" t="s">
        <v>119</v>
      </c>
      <c r="G31">
        <v>2</v>
      </c>
      <c r="H31" s="7">
        <v>6500</v>
      </c>
      <c r="I31" s="8">
        <v>0.1</v>
      </c>
      <c r="J31" s="7">
        <v>11700</v>
      </c>
      <c r="K31" s="7">
        <v>2175.48</v>
      </c>
      <c r="L31" t="s">
        <v>74</v>
      </c>
      <c r="M31" t="s">
        <v>75</v>
      </c>
    </row>
    <row r="32" spans="1:13">
      <c r="A32" t="s">
        <v>120</v>
      </c>
      <c r="B32" s="6">
        <v>45803</v>
      </c>
      <c r="C32" t="s">
        <v>82</v>
      </c>
      <c r="D32" t="s">
        <v>52</v>
      </c>
      <c r="E32" t="s">
        <v>41</v>
      </c>
      <c r="F32" t="s">
        <v>121</v>
      </c>
      <c r="G32">
        <v>6</v>
      </c>
      <c r="H32" s="7">
        <v>450</v>
      </c>
      <c r="I32" s="8">
        <v>0.2</v>
      </c>
      <c r="J32" s="7">
        <v>2160</v>
      </c>
      <c r="K32" s="7">
        <v>125.07</v>
      </c>
      <c r="L32" t="s">
        <v>49</v>
      </c>
      <c r="M32" t="s">
        <v>44</v>
      </c>
    </row>
    <row r="33" spans="1:13">
      <c r="A33" t="s">
        <v>122</v>
      </c>
      <c r="B33" s="6">
        <v>45793</v>
      </c>
      <c r="C33" t="s">
        <v>123</v>
      </c>
      <c r="D33" t="s">
        <v>40</v>
      </c>
      <c r="E33" t="s">
        <v>53</v>
      </c>
      <c r="F33" t="s">
        <v>119</v>
      </c>
      <c r="G33">
        <v>3</v>
      </c>
      <c r="H33" s="7">
        <v>6500</v>
      </c>
      <c r="I33" s="8">
        <v>0.2</v>
      </c>
      <c r="J33" s="7">
        <v>15600</v>
      </c>
      <c r="K33" s="7">
        <v>681.73</v>
      </c>
      <c r="L33" t="s">
        <v>68</v>
      </c>
      <c r="M33" t="s">
        <v>44</v>
      </c>
    </row>
    <row r="34" spans="1:13">
      <c r="A34" t="s">
        <v>124</v>
      </c>
      <c r="B34" s="6">
        <v>46009</v>
      </c>
      <c r="C34" t="s">
        <v>125</v>
      </c>
      <c r="D34" t="s">
        <v>52</v>
      </c>
      <c r="E34" t="s">
        <v>41</v>
      </c>
      <c r="F34" t="s">
        <v>121</v>
      </c>
      <c r="G34">
        <v>1</v>
      </c>
      <c r="H34" s="7">
        <v>450</v>
      </c>
      <c r="I34" s="8">
        <v>0.15</v>
      </c>
      <c r="J34" s="7">
        <v>382.5</v>
      </c>
      <c r="K34" s="7">
        <v>61.27</v>
      </c>
      <c r="L34" t="s">
        <v>49</v>
      </c>
      <c r="M34" t="s">
        <v>44</v>
      </c>
    </row>
    <row r="35" spans="1:13">
      <c r="A35" t="s">
        <v>126</v>
      </c>
      <c r="B35" s="6">
        <v>45828</v>
      </c>
      <c r="C35" t="s">
        <v>127</v>
      </c>
      <c r="D35" t="s">
        <v>56</v>
      </c>
      <c r="E35" t="s">
        <v>53</v>
      </c>
      <c r="F35" t="s">
        <v>54</v>
      </c>
      <c r="G35">
        <v>5</v>
      </c>
      <c r="H35" s="7">
        <v>7800</v>
      </c>
      <c r="I35" s="8">
        <v>0.15</v>
      </c>
      <c r="J35" s="7">
        <v>33150</v>
      </c>
      <c r="K35" s="7">
        <v>3886.68</v>
      </c>
      <c r="L35" t="s">
        <v>49</v>
      </c>
      <c r="M35" t="s">
        <v>44</v>
      </c>
    </row>
    <row r="36" spans="1:13">
      <c r="A36" t="s">
        <v>128</v>
      </c>
      <c r="B36" s="6">
        <v>46011</v>
      </c>
      <c r="C36" t="s">
        <v>129</v>
      </c>
      <c r="D36" t="s">
        <v>40</v>
      </c>
      <c r="E36" t="s">
        <v>41</v>
      </c>
      <c r="F36" t="s">
        <v>42</v>
      </c>
      <c r="G36">
        <v>4</v>
      </c>
      <c r="H36" s="7">
        <v>120</v>
      </c>
      <c r="I36" s="8">
        <v>0.05</v>
      </c>
      <c r="J36" s="7">
        <v>456</v>
      </c>
      <c r="K36" s="7">
        <v>31.55</v>
      </c>
      <c r="L36" t="s">
        <v>68</v>
      </c>
      <c r="M36" t="s">
        <v>44</v>
      </c>
    </row>
    <row r="37" spans="1:13">
      <c r="A37" t="s">
        <v>130</v>
      </c>
      <c r="B37" s="6">
        <v>45841</v>
      </c>
      <c r="C37" t="s">
        <v>131</v>
      </c>
      <c r="D37" t="s">
        <v>71</v>
      </c>
      <c r="E37" t="s">
        <v>47</v>
      </c>
      <c r="F37" t="s">
        <v>88</v>
      </c>
      <c r="G37">
        <v>5</v>
      </c>
      <c r="H37" s="7">
        <v>1800</v>
      </c>
      <c r="I37" s="8">
        <v>0.15</v>
      </c>
      <c r="J37" s="7">
        <v>7650</v>
      </c>
      <c r="K37" s="7">
        <v>1402.35</v>
      </c>
      <c r="L37" t="s">
        <v>74</v>
      </c>
      <c r="M37" t="s">
        <v>44</v>
      </c>
    </row>
    <row r="38" spans="1:13">
      <c r="A38" t="s">
        <v>132</v>
      </c>
      <c r="B38" s="6">
        <v>45741</v>
      </c>
      <c r="C38" t="s">
        <v>133</v>
      </c>
      <c r="D38" t="s">
        <v>52</v>
      </c>
      <c r="E38" t="s">
        <v>47</v>
      </c>
      <c r="F38" t="s">
        <v>98</v>
      </c>
      <c r="G38">
        <v>6</v>
      </c>
      <c r="H38" s="7">
        <v>14500</v>
      </c>
      <c r="I38" s="8">
        <v>0.1</v>
      </c>
      <c r="J38" s="7">
        <v>78300</v>
      </c>
      <c r="K38" s="7">
        <v>13325.24</v>
      </c>
      <c r="L38" t="s">
        <v>57</v>
      </c>
      <c r="M38" t="s">
        <v>44</v>
      </c>
    </row>
    <row r="39" spans="1:13">
      <c r="A39" t="s">
        <v>134</v>
      </c>
      <c r="B39" s="6">
        <v>45794</v>
      </c>
      <c r="C39" t="s">
        <v>82</v>
      </c>
      <c r="D39" t="s">
        <v>40</v>
      </c>
      <c r="E39" t="s">
        <v>66</v>
      </c>
      <c r="F39" t="s">
        <v>135</v>
      </c>
      <c r="G39">
        <v>4</v>
      </c>
      <c r="H39" s="7">
        <v>900</v>
      </c>
      <c r="I39" s="8">
        <v>0.05</v>
      </c>
      <c r="J39" s="7">
        <v>3420</v>
      </c>
      <c r="K39" s="7">
        <v>322.95999999999998</v>
      </c>
      <c r="L39" t="s">
        <v>57</v>
      </c>
      <c r="M39" t="s">
        <v>75</v>
      </c>
    </row>
    <row r="40" spans="1:13">
      <c r="A40" t="s">
        <v>136</v>
      </c>
      <c r="B40" s="6">
        <v>45814</v>
      </c>
      <c r="C40" t="s">
        <v>137</v>
      </c>
      <c r="D40" t="s">
        <v>71</v>
      </c>
      <c r="E40" t="s">
        <v>47</v>
      </c>
      <c r="F40" t="s">
        <v>98</v>
      </c>
      <c r="G40">
        <v>4</v>
      </c>
      <c r="H40" s="7">
        <v>14500</v>
      </c>
      <c r="I40" s="8">
        <v>0.1</v>
      </c>
      <c r="J40" s="7">
        <v>52200</v>
      </c>
      <c r="K40" s="7">
        <v>4675.8900000000003</v>
      </c>
      <c r="L40" t="s">
        <v>49</v>
      </c>
      <c r="M40" t="s">
        <v>75</v>
      </c>
    </row>
    <row r="41" spans="1:13">
      <c r="A41" t="s">
        <v>138</v>
      </c>
      <c r="B41" s="6">
        <v>45837</v>
      </c>
      <c r="C41" t="s">
        <v>139</v>
      </c>
      <c r="D41" t="s">
        <v>52</v>
      </c>
      <c r="E41" t="s">
        <v>41</v>
      </c>
      <c r="F41" t="s">
        <v>121</v>
      </c>
      <c r="G41">
        <v>1</v>
      </c>
      <c r="H41" s="7">
        <v>450</v>
      </c>
      <c r="I41" s="8">
        <v>0.1</v>
      </c>
      <c r="J41" s="7">
        <v>405</v>
      </c>
      <c r="K41" s="7">
        <v>29.8</v>
      </c>
      <c r="L41" t="s">
        <v>68</v>
      </c>
      <c r="M41" t="s">
        <v>44</v>
      </c>
    </row>
    <row r="42" spans="1:13">
      <c r="A42" t="s">
        <v>140</v>
      </c>
      <c r="B42" s="6">
        <v>45713</v>
      </c>
      <c r="D42" t="s">
        <v>56</v>
      </c>
      <c r="E42" t="s">
        <v>41</v>
      </c>
      <c r="F42" t="s">
        <v>91</v>
      </c>
      <c r="G42">
        <v>5</v>
      </c>
      <c r="H42" s="7">
        <v>220</v>
      </c>
      <c r="I42" s="8">
        <v>0.2</v>
      </c>
      <c r="J42" s="7">
        <v>880</v>
      </c>
      <c r="K42" s="7">
        <v>26.4</v>
      </c>
      <c r="L42" t="s">
        <v>43</v>
      </c>
      <c r="M42" t="s">
        <v>44</v>
      </c>
    </row>
    <row r="43" spans="1:13">
      <c r="A43" t="s">
        <v>141</v>
      </c>
      <c r="B43" s="6">
        <v>45788</v>
      </c>
      <c r="C43" t="s">
        <v>142</v>
      </c>
      <c r="D43" t="s">
        <v>52</v>
      </c>
      <c r="E43" t="s">
        <v>47</v>
      </c>
      <c r="F43" t="s">
        <v>98</v>
      </c>
      <c r="G43">
        <v>3</v>
      </c>
      <c r="H43" s="7">
        <v>14500</v>
      </c>
      <c r="I43" s="8">
        <v>0.15</v>
      </c>
      <c r="J43" s="7">
        <v>36975</v>
      </c>
      <c r="K43" s="7">
        <v>1430.78</v>
      </c>
      <c r="L43" t="s">
        <v>68</v>
      </c>
      <c r="M43" t="s">
        <v>75</v>
      </c>
    </row>
    <row r="44" spans="1:13">
      <c r="A44" t="s">
        <v>143</v>
      </c>
      <c r="B44" s="6">
        <v>45997</v>
      </c>
      <c r="C44" t="s">
        <v>144</v>
      </c>
      <c r="D44" t="s">
        <v>56</v>
      </c>
      <c r="E44" t="s">
        <v>41</v>
      </c>
      <c r="F44" t="s">
        <v>91</v>
      </c>
      <c r="G44">
        <v>3</v>
      </c>
      <c r="H44" s="7">
        <v>220</v>
      </c>
      <c r="I44" s="8">
        <v>0.15</v>
      </c>
      <c r="J44" s="7">
        <v>561</v>
      </c>
      <c r="K44" s="7">
        <v>78.010000000000005</v>
      </c>
      <c r="L44" t="s">
        <v>43</v>
      </c>
      <c r="M44" t="s">
        <v>44</v>
      </c>
    </row>
    <row r="45" spans="1:13">
      <c r="A45" t="s">
        <v>145</v>
      </c>
      <c r="B45" s="6">
        <v>45756</v>
      </c>
      <c r="C45" t="s">
        <v>146</v>
      </c>
      <c r="D45" t="s">
        <v>52</v>
      </c>
      <c r="E45" t="s">
        <v>53</v>
      </c>
      <c r="F45" t="s">
        <v>119</v>
      </c>
      <c r="G45">
        <v>4</v>
      </c>
      <c r="H45" s="7">
        <v>6500</v>
      </c>
      <c r="I45" s="8">
        <v>0.2</v>
      </c>
      <c r="J45" s="7">
        <v>20800</v>
      </c>
      <c r="K45" s="7">
        <v>2982.64</v>
      </c>
      <c r="L45" t="s">
        <v>68</v>
      </c>
      <c r="M45" t="s">
        <v>75</v>
      </c>
    </row>
    <row r="46" spans="1:13">
      <c r="A46" t="s">
        <v>147</v>
      </c>
      <c r="B46" s="6">
        <v>45765</v>
      </c>
      <c r="C46" t="s">
        <v>148</v>
      </c>
      <c r="D46" t="s">
        <v>56</v>
      </c>
      <c r="E46" t="s">
        <v>66</v>
      </c>
      <c r="F46" t="s">
        <v>149</v>
      </c>
      <c r="G46">
        <v>4</v>
      </c>
      <c r="H46" s="7">
        <v>1800</v>
      </c>
      <c r="I46" s="8">
        <v>0.05</v>
      </c>
      <c r="J46" s="7">
        <v>6840</v>
      </c>
      <c r="K46" s="7">
        <v>986.93</v>
      </c>
      <c r="L46" t="s">
        <v>74</v>
      </c>
      <c r="M46" t="s">
        <v>44</v>
      </c>
    </row>
    <row r="47" spans="1:13">
      <c r="A47" t="s">
        <v>150</v>
      </c>
      <c r="B47" s="6">
        <v>45803</v>
      </c>
      <c r="C47" t="s">
        <v>151</v>
      </c>
      <c r="D47" t="s">
        <v>56</v>
      </c>
      <c r="E47" t="s">
        <v>47</v>
      </c>
      <c r="F47" t="s">
        <v>98</v>
      </c>
      <c r="G47">
        <v>6</v>
      </c>
      <c r="H47" s="7">
        <v>14500</v>
      </c>
      <c r="I47" s="8">
        <v>0.1</v>
      </c>
      <c r="J47" s="7">
        <v>78300</v>
      </c>
      <c r="K47" s="7">
        <v>6337.8</v>
      </c>
      <c r="L47" t="s">
        <v>74</v>
      </c>
      <c r="M47" t="s">
        <v>44</v>
      </c>
    </row>
    <row r="48" spans="1:13">
      <c r="A48" t="s">
        <v>152</v>
      </c>
      <c r="B48" s="6">
        <v>45670</v>
      </c>
      <c r="C48" t="s">
        <v>142</v>
      </c>
      <c r="D48" t="s">
        <v>71</v>
      </c>
      <c r="E48" t="s">
        <v>66</v>
      </c>
      <c r="F48" t="s">
        <v>135</v>
      </c>
      <c r="G48">
        <v>4</v>
      </c>
      <c r="H48" s="7">
        <v>900</v>
      </c>
      <c r="I48" s="8">
        <v>0.15</v>
      </c>
      <c r="J48" s="7">
        <v>3060</v>
      </c>
      <c r="K48" s="7">
        <v>518</v>
      </c>
      <c r="L48" t="s">
        <v>43</v>
      </c>
      <c r="M48" t="s">
        <v>44</v>
      </c>
    </row>
    <row r="49" spans="1:13">
      <c r="A49" t="s">
        <v>153</v>
      </c>
      <c r="B49" s="6">
        <v>46014</v>
      </c>
      <c r="C49" t="s">
        <v>154</v>
      </c>
      <c r="D49" t="s">
        <v>52</v>
      </c>
      <c r="E49" t="s">
        <v>66</v>
      </c>
      <c r="F49" t="s">
        <v>78</v>
      </c>
      <c r="G49">
        <v>2</v>
      </c>
      <c r="H49" s="7">
        <v>700</v>
      </c>
      <c r="I49" s="8">
        <v>0</v>
      </c>
      <c r="J49" s="7">
        <v>1400</v>
      </c>
      <c r="K49" s="7">
        <v>311.95999999999998</v>
      </c>
      <c r="L49" t="s">
        <v>49</v>
      </c>
      <c r="M49" t="s">
        <v>75</v>
      </c>
    </row>
    <row r="50" spans="1:13">
      <c r="A50" t="s">
        <v>155</v>
      </c>
      <c r="B50" s="6">
        <v>45770</v>
      </c>
      <c r="C50" t="s">
        <v>133</v>
      </c>
      <c r="D50" t="s">
        <v>52</v>
      </c>
      <c r="E50" t="s">
        <v>47</v>
      </c>
      <c r="F50" t="s">
        <v>98</v>
      </c>
      <c r="G50">
        <v>1</v>
      </c>
      <c r="H50" s="7">
        <v>14500</v>
      </c>
      <c r="I50" s="8">
        <v>0.15</v>
      </c>
      <c r="J50" s="7">
        <v>12325</v>
      </c>
      <c r="K50" s="7">
        <v>601.88</v>
      </c>
      <c r="L50" t="s">
        <v>57</v>
      </c>
      <c r="M50" t="s">
        <v>75</v>
      </c>
    </row>
    <row r="51" spans="1:13">
      <c r="A51" t="s">
        <v>156</v>
      </c>
      <c r="B51" s="6">
        <v>45884</v>
      </c>
      <c r="C51" t="s">
        <v>157</v>
      </c>
      <c r="D51" t="s">
        <v>52</v>
      </c>
      <c r="E51" t="s">
        <v>66</v>
      </c>
      <c r="F51" t="s">
        <v>78</v>
      </c>
      <c r="G51">
        <v>6</v>
      </c>
      <c r="H51" s="7">
        <v>700</v>
      </c>
      <c r="I51" s="8">
        <v>0.15</v>
      </c>
      <c r="J51" s="7">
        <v>3570</v>
      </c>
      <c r="K51" s="7">
        <v>355.25</v>
      </c>
      <c r="L51" t="s">
        <v>74</v>
      </c>
      <c r="M51" t="s">
        <v>75</v>
      </c>
    </row>
    <row r="52" spans="1:13">
      <c r="A52" t="s">
        <v>158</v>
      </c>
      <c r="B52" s="6">
        <v>45924</v>
      </c>
      <c r="C52" t="s">
        <v>159</v>
      </c>
      <c r="D52" t="s">
        <v>71</v>
      </c>
      <c r="E52" t="s">
        <v>41</v>
      </c>
      <c r="F52" t="s">
        <v>91</v>
      </c>
      <c r="G52">
        <v>1</v>
      </c>
      <c r="H52" s="7">
        <v>220</v>
      </c>
      <c r="I52" s="8">
        <v>0.1</v>
      </c>
      <c r="J52" s="7">
        <v>198</v>
      </c>
      <c r="K52" s="7">
        <v>16.34</v>
      </c>
      <c r="L52" t="s">
        <v>68</v>
      </c>
      <c r="M52" t="s">
        <v>75</v>
      </c>
    </row>
    <row r="53" spans="1:13">
      <c r="A53" t="s">
        <v>160</v>
      </c>
      <c r="B53" s="6">
        <v>45934</v>
      </c>
      <c r="C53" t="s">
        <v>161</v>
      </c>
      <c r="E53" t="s">
        <v>53</v>
      </c>
      <c r="F53" t="s">
        <v>162</v>
      </c>
      <c r="G53">
        <v>4</v>
      </c>
      <c r="H53" s="7">
        <v>12000</v>
      </c>
      <c r="I53" s="8">
        <v>0.05</v>
      </c>
      <c r="J53" s="7">
        <v>45600</v>
      </c>
      <c r="K53" s="7">
        <v>8004.03</v>
      </c>
      <c r="L53" t="s">
        <v>49</v>
      </c>
      <c r="M53" t="s">
        <v>75</v>
      </c>
    </row>
    <row r="54" spans="1:13">
      <c r="A54" t="s">
        <v>163</v>
      </c>
      <c r="B54" s="6">
        <v>45866</v>
      </c>
      <c r="C54" t="s">
        <v>164</v>
      </c>
      <c r="D54" t="s">
        <v>52</v>
      </c>
      <c r="E54" t="s">
        <v>66</v>
      </c>
      <c r="F54" t="s">
        <v>135</v>
      </c>
      <c r="G54">
        <v>2</v>
      </c>
      <c r="H54" s="7">
        <v>900</v>
      </c>
      <c r="I54" s="8">
        <v>0.15</v>
      </c>
      <c r="J54" s="7">
        <v>1530</v>
      </c>
      <c r="K54" s="7">
        <v>137.41999999999999</v>
      </c>
      <c r="L54" t="s">
        <v>43</v>
      </c>
      <c r="M54" t="s">
        <v>44</v>
      </c>
    </row>
    <row r="55" spans="1:13">
      <c r="A55" t="s">
        <v>165</v>
      </c>
      <c r="B55" s="6">
        <v>45952</v>
      </c>
      <c r="C55" t="s">
        <v>65</v>
      </c>
      <c r="D55" t="s">
        <v>52</v>
      </c>
      <c r="E55" t="s">
        <v>47</v>
      </c>
      <c r="F55" t="s">
        <v>88</v>
      </c>
      <c r="G55">
        <v>3</v>
      </c>
      <c r="H55" s="7">
        <v>1800</v>
      </c>
      <c r="I55" s="8">
        <v>0.15</v>
      </c>
      <c r="J55" s="7">
        <v>4590</v>
      </c>
      <c r="K55" s="7">
        <v>753</v>
      </c>
      <c r="L55" t="s">
        <v>57</v>
      </c>
      <c r="M55" t="s">
        <v>44</v>
      </c>
    </row>
    <row r="56" spans="1:13">
      <c r="A56" t="s">
        <v>166</v>
      </c>
      <c r="B56" s="6">
        <v>45907</v>
      </c>
      <c r="C56" t="s">
        <v>100</v>
      </c>
      <c r="D56" t="s">
        <v>56</v>
      </c>
      <c r="E56" t="s">
        <v>66</v>
      </c>
      <c r="F56" t="s">
        <v>149</v>
      </c>
      <c r="G56">
        <v>1</v>
      </c>
      <c r="H56" s="7">
        <v>1800</v>
      </c>
      <c r="I56" s="8">
        <v>0.15</v>
      </c>
      <c r="J56" s="7">
        <v>1530</v>
      </c>
      <c r="K56" s="7">
        <v>124.36</v>
      </c>
      <c r="L56" t="s">
        <v>57</v>
      </c>
      <c r="M56" t="s">
        <v>44</v>
      </c>
    </row>
    <row r="57" spans="1:13">
      <c r="A57" t="s">
        <v>167</v>
      </c>
      <c r="B57" s="6">
        <v>45897</v>
      </c>
      <c r="C57" t="s">
        <v>168</v>
      </c>
      <c r="D57" t="s">
        <v>40</v>
      </c>
      <c r="E57" t="s">
        <v>66</v>
      </c>
      <c r="F57" t="s">
        <v>135</v>
      </c>
      <c r="G57">
        <v>1</v>
      </c>
      <c r="H57" s="7">
        <v>900</v>
      </c>
      <c r="I57" s="8">
        <v>0.15</v>
      </c>
      <c r="J57" s="7">
        <v>765</v>
      </c>
      <c r="K57" s="7">
        <v>37.65</v>
      </c>
      <c r="L57" t="s">
        <v>57</v>
      </c>
      <c r="M57" t="s">
        <v>44</v>
      </c>
    </row>
    <row r="58" spans="1:13">
      <c r="A58" t="s">
        <v>169</v>
      </c>
      <c r="B58" s="6">
        <v>45683</v>
      </c>
      <c r="C58" t="s">
        <v>170</v>
      </c>
      <c r="D58" t="s">
        <v>52</v>
      </c>
      <c r="E58" t="s">
        <v>41</v>
      </c>
      <c r="F58" t="s">
        <v>42</v>
      </c>
      <c r="G58">
        <v>4</v>
      </c>
      <c r="H58" s="7">
        <v>120</v>
      </c>
      <c r="I58" s="8">
        <v>0.1</v>
      </c>
      <c r="J58" s="7">
        <v>432</v>
      </c>
      <c r="K58" s="7">
        <v>42.77</v>
      </c>
      <c r="L58" t="s">
        <v>57</v>
      </c>
      <c r="M58" t="s">
        <v>75</v>
      </c>
    </row>
    <row r="59" spans="1:13">
      <c r="A59" t="s">
        <v>171</v>
      </c>
      <c r="B59" s="6">
        <v>45873</v>
      </c>
      <c r="C59" t="s">
        <v>172</v>
      </c>
      <c r="D59" t="s">
        <v>40</v>
      </c>
      <c r="E59" t="s">
        <v>66</v>
      </c>
      <c r="F59" t="s">
        <v>135</v>
      </c>
      <c r="G59">
        <v>6</v>
      </c>
      <c r="H59" s="7">
        <v>900</v>
      </c>
      <c r="I59" s="8">
        <v>0.2</v>
      </c>
      <c r="J59" s="7">
        <v>4320</v>
      </c>
      <c r="K59" s="7">
        <v>129.6</v>
      </c>
      <c r="L59" t="s">
        <v>68</v>
      </c>
      <c r="M59" t="s">
        <v>44</v>
      </c>
    </row>
    <row r="60" spans="1:13">
      <c r="A60" t="s">
        <v>173</v>
      </c>
      <c r="B60" s="6">
        <v>45990</v>
      </c>
      <c r="C60" t="s">
        <v>174</v>
      </c>
      <c r="D60" t="s">
        <v>40</v>
      </c>
      <c r="E60" t="s">
        <v>47</v>
      </c>
      <c r="F60" t="s">
        <v>98</v>
      </c>
      <c r="G60">
        <v>2</v>
      </c>
      <c r="H60" s="7">
        <v>14500</v>
      </c>
      <c r="I60" s="8">
        <v>0</v>
      </c>
      <c r="J60" s="7">
        <v>29000</v>
      </c>
      <c r="K60" s="7">
        <v>5203</v>
      </c>
      <c r="L60" t="s">
        <v>74</v>
      </c>
      <c r="M60" t="s">
        <v>44</v>
      </c>
    </row>
    <row r="61" spans="1:13">
      <c r="A61" t="s">
        <v>175</v>
      </c>
      <c r="B61" s="6">
        <v>45900</v>
      </c>
      <c r="C61" t="s">
        <v>123</v>
      </c>
      <c r="D61" t="s">
        <v>71</v>
      </c>
      <c r="E61" t="s">
        <v>66</v>
      </c>
      <c r="F61" t="s">
        <v>67</v>
      </c>
      <c r="G61">
        <v>3</v>
      </c>
      <c r="H61" s="7">
        <v>2200</v>
      </c>
      <c r="I61" s="8">
        <v>0.05</v>
      </c>
      <c r="J61" s="7">
        <v>6270</v>
      </c>
      <c r="K61" s="7">
        <v>999.71</v>
      </c>
      <c r="L61" t="s">
        <v>49</v>
      </c>
      <c r="M61" t="s">
        <v>44</v>
      </c>
    </row>
    <row r="62" spans="1:13">
      <c r="A62" t="s">
        <v>176</v>
      </c>
      <c r="B62" s="6">
        <v>45817</v>
      </c>
      <c r="C62" t="s">
        <v>177</v>
      </c>
      <c r="D62" t="s">
        <v>40</v>
      </c>
      <c r="E62" t="s">
        <v>41</v>
      </c>
      <c r="F62" t="s">
        <v>91</v>
      </c>
      <c r="G62">
        <v>4</v>
      </c>
      <c r="H62" s="7">
        <v>220</v>
      </c>
      <c r="I62" s="8">
        <v>0.05</v>
      </c>
      <c r="J62" s="7">
        <v>836</v>
      </c>
      <c r="K62" s="7">
        <v>62.42</v>
      </c>
      <c r="L62" t="s">
        <v>74</v>
      </c>
      <c r="M62" t="s">
        <v>44</v>
      </c>
    </row>
    <row r="63" spans="1:13">
      <c r="A63" t="s">
        <v>178</v>
      </c>
      <c r="B63" s="6">
        <v>46014</v>
      </c>
      <c r="C63" t="s">
        <v>179</v>
      </c>
      <c r="D63" t="s">
        <v>40</v>
      </c>
      <c r="E63" t="s">
        <v>47</v>
      </c>
      <c r="F63" t="s">
        <v>88</v>
      </c>
      <c r="G63">
        <v>5</v>
      </c>
      <c r="H63" s="7">
        <v>1800</v>
      </c>
      <c r="I63" s="8">
        <v>0.15</v>
      </c>
      <c r="J63" s="7">
        <v>7650</v>
      </c>
      <c r="K63" s="7">
        <v>1020.08</v>
      </c>
      <c r="L63" t="s">
        <v>49</v>
      </c>
      <c r="M63" t="s">
        <v>75</v>
      </c>
    </row>
    <row r="64" spans="1:13">
      <c r="A64" t="s">
        <v>180</v>
      </c>
      <c r="B64" s="6">
        <v>45664</v>
      </c>
      <c r="C64" t="s">
        <v>146</v>
      </c>
      <c r="D64" t="s">
        <v>52</v>
      </c>
      <c r="E64" t="s">
        <v>47</v>
      </c>
      <c r="F64" t="s">
        <v>60</v>
      </c>
      <c r="G64">
        <v>3</v>
      </c>
      <c r="H64" s="7">
        <v>2500</v>
      </c>
      <c r="I64" s="8">
        <v>0.15</v>
      </c>
      <c r="J64" s="7">
        <v>6375</v>
      </c>
      <c r="K64" s="7">
        <v>896.77</v>
      </c>
      <c r="L64" t="s">
        <v>57</v>
      </c>
      <c r="M64" t="s">
        <v>44</v>
      </c>
    </row>
    <row r="65" spans="1:13">
      <c r="A65" t="s">
        <v>181</v>
      </c>
      <c r="B65" s="6">
        <v>45925</v>
      </c>
      <c r="C65" t="s">
        <v>182</v>
      </c>
      <c r="D65" t="s">
        <v>52</v>
      </c>
      <c r="E65" t="s">
        <v>66</v>
      </c>
      <c r="F65" t="s">
        <v>149</v>
      </c>
      <c r="G65">
        <v>6</v>
      </c>
      <c r="H65" s="7">
        <v>1800</v>
      </c>
      <c r="I65" s="8">
        <v>0.2</v>
      </c>
      <c r="J65" s="7">
        <v>8640</v>
      </c>
      <c r="K65" s="7">
        <v>457.43</v>
      </c>
      <c r="L65" t="s">
        <v>74</v>
      </c>
      <c r="M65" t="s">
        <v>44</v>
      </c>
    </row>
    <row r="66" spans="1:13">
      <c r="A66" t="s">
        <v>183</v>
      </c>
      <c r="B66" s="6">
        <v>45800</v>
      </c>
      <c r="C66" t="s">
        <v>184</v>
      </c>
      <c r="D66" t="s">
        <v>71</v>
      </c>
      <c r="E66" t="s">
        <v>66</v>
      </c>
      <c r="F66" t="s">
        <v>149</v>
      </c>
      <c r="G66">
        <v>3</v>
      </c>
      <c r="H66" s="7">
        <v>1800</v>
      </c>
      <c r="I66" s="8">
        <v>0</v>
      </c>
      <c r="J66" s="7">
        <v>5400</v>
      </c>
      <c r="K66" s="7">
        <v>859.08</v>
      </c>
      <c r="L66" t="s">
        <v>68</v>
      </c>
      <c r="M66" t="s">
        <v>44</v>
      </c>
    </row>
    <row r="67" spans="1:13">
      <c r="A67" t="s">
        <v>185</v>
      </c>
      <c r="B67" s="6">
        <v>45907</v>
      </c>
      <c r="C67" t="s">
        <v>186</v>
      </c>
      <c r="D67" t="s">
        <v>56</v>
      </c>
      <c r="E67" t="s">
        <v>41</v>
      </c>
      <c r="F67" t="s">
        <v>85</v>
      </c>
      <c r="G67">
        <v>3</v>
      </c>
      <c r="H67" s="7">
        <v>1600</v>
      </c>
      <c r="I67" s="8">
        <v>0.2</v>
      </c>
      <c r="J67" s="7">
        <v>3840</v>
      </c>
      <c r="K67" s="7">
        <v>469.21</v>
      </c>
      <c r="L67" t="s">
        <v>68</v>
      </c>
      <c r="M67" t="s">
        <v>44</v>
      </c>
    </row>
    <row r="68" spans="1:13">
      <c r="A68" t="s">
        <v>187</v>
      </c>
      <c r="B68" s="6">
        <v>45922</v>
      </c>
      <c r="C68" t="s">
        <v>111</v>
      </c>
      <c r="D68" t="s">
        <v>40</v>
      </c>
      <c r="E68" t="s">
        <v>53</v>
      </c>
      <c r="F68" t="s">
        <v>54</v>
      </c>
      <c r="G68">
        <v>4</v>
      </c>
      <c r="H68" s="7">
        <v>7800</v>
      </c>
      <c r="I68" s="8">
        <v>0.2</v>
      </c>
      <c r="J68" s="7">
        <v>24960</v>
      </c>
      <c r="K68" s="7">
        <v>3277.41</v>
      </c>
      <c r="L68" t="s">
        <v>57</v>
      </c>
      <c r="M68" t="s">
        <v>75</v>
      </c>
    </row>
    <row r="69" spans="1:13">
      <c r="A69" t="s">
        <v>188</v>
      </c>
      <c r="B69" s="6">
        <v>45887</v>
      </c>
      <c r="C69" t="s">
        <v>189</v>
      </c>
      <c r="D69" t="s">
        <v>40</v>
      </c>
      <c r="E69" t="s">
        <v>41</v>
      </c>
      <c r="F69" t="s">
        <v>42</v>
      </c>
      <c r="G69">
        <v>4</v>
      </c>
      <c r="H69" s="7">
        <v>120</v>
      </c>
      <c r="I69" s="8">
        <v>0.05</v>
      </c>
      <c r="J69" s="7">
        <v>456</v>
      </c>
      <c r="K69" s="7">
        <v>50.84</v>
      </c>
      <c r="L69" t="s">
        <v>43</v>
      </c>
      <c r="M69" t="s">
        <v>75</v>
      </c>
    </row>
    <row r="70" spans="1:13">
      <c r="A70" t="s">
        <v>190</v>
      </c>
      <c r="B70" s="6">
        <v>45900</v>
      </c>
      <c r="C70" t="s">
        <v>191</v>
      </c>
      <c r="D70" t="s">
        <v>56</v>
      </c>
      <c r="E70" t="s">
        <v>66</v>
      </c>
      <c r="F70" t="s">
        <v>67</v>
      </c>
      <c r="G70">
        <v>3</v>
      </c>
      <c r="H70" s="7">
        <v>2200</v>
      </c>
      <c r="I70" s="8">
        <v>0.15</v>
      </c>
      <c r="J70" s="7">
        <v>5610</v>
      </c>
      <c r="K70" s="7">
        <v>397.45</v>
      </c>
      <c r="L70" t="s">
        <v>68</v>
      </c>
      <c r="M70" t="s">
        <v>44</v>
      </c>
    </row>
    <row r="71" spans="1:13">
      <c r="A71" t="s">
        <v>192</v>
      </c>
      <c r="B71" s="6">
        <v>45719</v>
      </c>
      <c r="C71" t="s">
        <v>193</v>
      </c>
      <c r="D71" t="s">
        <v>56</v>
      </c>
      <c r="E71" t="s">
        <v>47</v>
      </c>
      <c r="F71" t="s">
        <v>98</v>
      </c>
      <c r="G71">
        <v>2</v>
      </c>
      <c r="H71" s="7">
        <v>14500</v>
      </c>
      <c r="I71" s="8">
        <v>0.05</v>
      </c>
      <c r="J71" s="7">
        <v>27550</v>
      </c>
      <c r="K71" s="7">
        <v>4977.6400000000003</v>
      </c>
      <c r="L71" t="s">
        <v>68</v>
      </c>
      <c r="M71" t="s">
        <v>75</v>
      </c>
    </row>
    <row r="72" spans="1:13">
      <c r="A72" t="s">
        <v>194</v>
      </c>
      <c r="B72" s="6">
        <v>45709</v>
      </c>
      <c r="C72" t="s">
        <v>193</v>
      </c>
      <c r="D72" t="s">
        <v>56</v>
      </c>
      <c r="E72" t="s">
        <v>53</v>
      </c>
      <c r="F72" t="s">
        <v>119</v>
      </c>
      <c r="G72">
        <v>2</v>
      </c>
      <c r="H72" s="7">
        <v>6500</v>
      </c>
      <c r="I72" s="8">
        <v>0.1</v>
      </c>
      <c r="J72" s="7">
        <v>11700</v>
      </c>
      <c r="K72" s="7">
        <v>552.99</v>
      </c>
      <c r="L72" t="s">
        <v>43</v>
      </c>
      <c r="M72" t="s">
        <v>44</v>
      </c>
    </row>
    <row r="73" spans="1:13">
      <c r="A73" t="s">
        <v>195</v>
      </c>
      <c r="B73" s="6">
        <v>45798</v>
      </c>
      <c r="C73" t="s">
        <v>142</v>
      </c>
      <c r="D73" t="s">
        <v>40</v>
      </c>
      <c r="E73" t="s">
        <v>41</v>
      </c>
      <c r="F73" t="s">
        <v>42</v>
      </c>
      <c r="G73">
        <v>6</v>
      </c>
      <c r="H73" s="7">
        <v>120</v>
      </c>
      <c r="I73" s="8">
        <v>0.15</v>
      </c>
      <c r="J73" s="7">
        <v>612</v>
      </c>
      <c r="K73" s="7">
        <v>26.88</v>
      </c>
      <c r="L73" t="s">
        <v>49</v>
      </c>
      <c r="M73" t="s">
        <v>75</v>
      </c>
    </row>
    <row r="74" spans="1:13">
      <c r="A74" t="s">
        <v>196</v>
      </c>
      <c r="B74" s="6">
        <v>45898</v>
      </c>
      <c r="C74" t="s">
        <v>113</v>
      </c>
      <c r="D74" t="s">
        <v>52</v>
      </c>
      <c r="E74" t="s">
        <v>197</v>
      </c>
      <c r="F74" t="s">
        <v>42</v>
      </c>
      <c r="G74">
        <v>1</v>
      </c>
      <c r="H74" s="7">
        <v>120</v>
      </c>
      <c r="I74" s="8">
        <v>0.1</v>
      </c>
      <c r="J74" s="7">
        <v>108</v>
      </c>
      <c r="K74" s="7">
        <v>21.12</v>
      </c>
      <c r="L74" t="s">
        <v>57</v>
      </c>
      <c r="M74" t="s">
        <v>44</v>
      </c>
    </row>
    <row r="75" spans="1:13">
      <c r="A75" t="s">
        <v>198</v>
      </c>
      <c r="B75" s="6">
        <v>45691</v>
      </c>
      <c r="C75" t="s">
        <v>199</v>
      </c>
      <c r="D75" t="s">
        <v>52</v>
      </c>
      <c r="E75" t="s">
        <v>47</v>
      </c>
      <c r="F75" t="s">
        <v>48</v>
      </c>
      <c r="G75">
        <v>2</v>
      </c>
      <c r="H75" s="7">
        <v>52000</v>
      </c>
      <c r="I75" s="8">
        <v>0.05</v>
      </c>
      <c r="J75" s="7">
        <v>98800</v>
      </c>
      <c r="K75" s="7">
        <v>18997.53</v>
      </c>
      <c r="L75" t="s">
        <v>68</v>
      </c>
      <c r="M75" t="s">
        <v>44</v>
      </c>
    </row>
    <row r="76" spans="1:13">
      <c r="A76" t="s">
        <v>200</v>
      </c>
      <c r="B76" s="6">
        <v>45785</v>
      </c>
      <c r="C76" t="s">
        <v>201</v>
      </c>
      <c r="D76" t="s">
        <v>52</v>
      </c>
      <c r="E76" t="s">
        <v>53</v>
      </c>
      <c r="F76" t="s">
        <v>54</v>
      </c>
      <c r="G76">
        <v>4</v>
      </c>
      <c r="H76" s="7">
        <v>7800</v>
      </c>
      <c r="I76" s="8">
        <v>0.15</v>
      </c>
      <c r="J76" s="7">
        <v>26520</v>
      </c>
      <c r="K76" s="7">
        <v>1991.03</v>
      </c>
      <c r="L76" t="s">
        <v>43</v>
      </c>
      <c r="M76" t="s">
        <v>75</v>
      </c>
    </row>
    <row r="77" spans="1:13">
      <c r="A77" t="s">
        <v>202</v>
      </c>
      <c r="B77" s="6">
        <v>45814</v>
      </c>
      <c r="C77" t="s">
        <v>203</v>
      </c>
      <c r="D77" t="s">
        <v>40</v>
      </c>
      <c r="E77" t="s">
        <v>53</v>
      </c>
      <c r="F77" t="s">
        <v>162</v>
      </c>
      <c r="G77">
        <v>3</v>
      </c>
      <c r="H77" s="7">
        <v>12000</v>
      </c>
      <c r="I77" s="8">
        <v>0</v>
      </c>
      <c r="J77" s="7">
        <v>36000</v>
      </c>
      <c r="K77" s="7">
        <v>3784.65</v>
      </c>
      <c r="L77" t="s">
        <v>74</v>
      </c>
      <c r="M77" t="s">
        <v>44</v>
      </c>
    </row>
    <row r="78" spans="1:13">
      <c r="A78" t="s">
        <v>204</v>
      </c>
      <c r="B78" s="6">
        <v>45738</v>
      </c>
      <c r="C78" t="s">
        <v>205</v>
      </c>
      <c r="D78" t="s">
        <v>52</v>
      </c>
      <c r="E78" t="s">
        <v>66</v>
      </c>
      <c r="F78" t="s">
        <v>149</v>
      </c>
      <c r="G78">
        <v>3</v>
      </c>
      <c r="H78" s="7">
        <v>1800</v>
      </c>
      <c r="I78" s="8">
        <v>0</v>
      </c>
      <c r="J78" s="7">
        <v>5400</v>
      </c>
      <c r="K78" s="7">
        <v>632</v>
      </c>
      <c r="L78" t="s">
        <v>68</v>
      </c>
      <c r="M78" t="s">
        <v>75</v>
      </c>
    </row>
    <row r="79" spans="1:13">
      <c r="A79" t="s">
        <v>206</v>
      </c>
      <c r="B79" s="6">
        <v>45694</v>
      </c>
      <c r="C79" t="s">
        <v>207</v>
      </c>
      <c r="D79" t="s">
        <v>56</v>
      </c>
      <c r="E79" t="s">
        <v>53</v>
      </c>
      <c r="F79" t="s">
        <v>54</v>
      </c>
      <c r="G79">
        <v>1</v>
      </c>
      <c r="H79" s="7">
        <v>7800</v>
      </c>
      <c r="I79" s="8">
        <v>0.2</v>
      </c>
      <c r="J79" s="7">
        <v>6240</v>
      </c>
      <c r="K79" s="7">
        <v>286.85000000000002</v>
      </c>
      <c r="L79" t="s">
        <v>74</v>
      </c>
      <c r="M79" t="s">
        <v>75</v>
      </c>
    </row>
    <row r="80" spans="1:13">
      <c r="A80" t="s">
        <v>208</v>
      </c>
      <c r="B80" s="6">
        <v>45730</v>
      </c>
      <c r="C80" t="s">
        <v>209</v>
      </c>
      <c r="D80" t="s">
        <v>40</v>
      </c>
      <c r="E80" t="s">
        <v>53</v>
      </c>
      <c r="F80" t="s">
        <v>119</v>
      </c>
      <c r="G80">
        <v>5</v>
      </c>
      <c r="H80" s="7">
        <v>6500</v>
      </c>
      <c r="I80" s="8">
        <v>0.2</v>
      </c>
      <c r="J80" s="7">
        <v>26000</v>
      </c>
      <c r="K80" s="7">
        <v>4092.16</v>
      </c>
      <c r="L80" t="s">
        <v>57</v>
      </c>
      <c r="M80" t="s">
        <v>44</v>
      </c>
    </row>
    <row r="81" spans="1:13">
      <c r="A81" t="s">
        <v>210</v>
      </c>
      <c r="B81" s="6">
        <v>45897</v>
      </c>
      <c r="C81" t="s">
        <v>179</v>
      </c>
      <c r="D81" t="s">
        <v>52</v>
      </c>
      <c r="E81" t="s">
        <v>41</v>
      </c>
      <c r="F81" t="s">
        <v>91</v>
      </c>
      <c r="G81">
        <v>4</v>
      </c>
      <c r="H81" s="7">
        <v>220</v>
      </c>
      <c r="I81" s="8">
        <v>0</v>
      </c>
      <c r="J81" s="7">
        <v>880</v>
      </c>
      <c r="K81" s="7">
        <v>154.6</v>
      </c>
      <c r="L81" t="s">
        <v>57</v>
      </c>
      <c r="M81" t="s">
        <v>75</v>
      </c>
    </row>
    <row r="82" spans="1:13">
      <c r="A82" t="s">
        <v>211</v>
      </c>
      <c r="B82" s="6">
        <v>45967</v>
      </c>
      <c r="C82" t="s">
        <v>172</v>
      </c>
      <c r="D82" t="s">
        <v>40</v>
      </c>
      <c r="E82" t="s">
        <v>47</v>
      </c>
      <c r="F82" t="s">
        <v>98</v>
      </c>
      <c r="G82">
        <v>6</v>
      </c>
      <c r="H82" s="7">
        <v>14500</v>
      </c>
      <c r="I82" s="8">
        <v>0.2</v>
      </c>
      <c r="J82" s="7">
        <v>69600</v>
      </c>
      <c r="K82" s="7">
        <v>7234.2</v>
      </c>
      <c r="L82" t="s">
        <v>49</v>
      </c>
      <c r="M82" t="s">
        <v>75</v>
      </c>
    </row>
    <row r="83" spans="1:13">
      <c r="A83" t="s">
        <v>212</v>
      </c>
      <c r="B83" s="6">
        <v>45953</v>
      </c>
      <c r="C83" t="s">
        <v>213</v>
      </c>
      <c r="D83" t="s">
        <v>71</v>
      </c>
      <c r="E83" t="s">
        <v>66</v>
      </c>
      <c r="F83" t="s">
        <v>149</v>
      </c>
      <c r="G83">
        <v>3</v>
      </c>
      <c r="H83" s="7">
        <v>1800</v>
      </c>
      <c r="I83" s="8">
        <v>0.05</v>
      </c>
      <c r="J83" s="7">
        <v>5130</v>
      </c>
      <c r="K83" s="7">
        <v>1138.92</v>
      </c>
      <c r="L83" t="s">
        <v>57</v>
      </c>
      <c r="M83" t="s">
        <v>75</v>
      </c>
    </row>
    <row r="84" spans="1:13">
      <c r="A84" t="s">
        <v>214</v>
      </c>
      <c r="B84" s="6">
        <v>45704</v>
      </c>
      <c r="C84" t="s">
        <v>215</v>
      </c>
      <c r="D84" t="s">
        <v>56</v>
      </c>
      <c r="E84" t="s">
        <v>66</v>
      </c>
      <c r="F84" t="s">
        <v>67</v>
      </c>
      <c r="G84">
        <v>3</v>
      </c>
      <c r="H84" s="7">
        <v>2200</v>
      </c>
      <c r="I84" s="8">
        <v>0</v>
      </c>
      <c r="J84" s="7">
        <v>6600</v>
      </c>
      <c r="K84" s="7">
        <v>1433.77</v>
      </c>
      <c r="L84" t="s">
        <v>68</v>
      </c>
      <c r="M84" t="s">
        <v>75</v>
      </c>
    </row>
    <row r="85" spans="1:13">
      <c r="A85" t="s">
        <v>216</v>
      </c>
      <c r="B85" s="6">
        <v>46013</v>
      </c>
      <c r="C85" t="s">
        <v>217</v>
      </c>
      <c r="D85" t="s">
        <v>56</v>
      </c>
      <c r="E85" t="s">
        <v>66</v>
      </c>
      <c r="F85" t="s">
        <v>135</v>
      </c>
      <c r="G85">
        <v>4</v>
      </c>
      <c r="H85" s="7">
        <v>900</v>
      </c>
      <c r="I85" s="8">
        <v>0</v>
      </c>
      <c r="J85" s="7">
        <v>3600</v>
      </c>
      <c r="K85" s="7">
        <v>469.16</v>
      </c>
      <c r="L85" t="s">
        <v>68</v>
      </c>
      <c r="M85" t="s">
        <v>44</v>
      </c>
    </row>
    <row r="86" spans="1:13">
      <c r="A86" t="s">
        <v>218</v>
      </c>
      <c r="B86" s="6">
        <v>45864</v>
      </c>
      <c r="C86" t="s">
        <v>151</v>
      </c>
      <c r="D86" t="s">
        <v>40</v>
      </c>
      <c r="E86" t="s">
        <v>66</v>
      </c>
      <c r="F86" t="s">
        <v>149</v>
      </c>
      <c r="G86">
        <v>1</v>
      </c>
      <c r="H86" s="7">
        <v>1800</v>
      </c>
      <c r="I86" s="8">
        <v>0.05</v>
      </c>
      <c r="J86" s="7">
        <v>1710</v>
      </c>
      <c r="K86" s="7">
        <v>248.72</v>
      </c>
      <c r="L86" t="s">
        <v>43</v>
      </c>
      <c r="M86" t="s">
        <v>75</v>
      </c>
    </row>
    <row r="87" spans="1:13">
      <c r="A87" t="s">
        <v>219</v>
      </c>
      <c r="B87" s="6">
        <v>45978</v>
      </c>
      <c r="C87" t="s">
        <v>220</v>
      </c>
      <c r="D87" t="s">
        <v>40</v>
      </c>
      <c r="E87" t="s">
        <v>53</v>
      </c>
      <c r="F87" t="s">
        <v>119</v>
      </c>
      <c r="G87">
        <v>5</v>
      </c>
      <c r="H87" s="7">
        <v>6500</v>
      </c>
      <c r="I87" s="8">
        <v>0.05</v>
      </c>
      <c r="J87" s="7">
        <v>30875</v>
      </c>
      <c r="K87" s="7">
        <v>6512.39</v>
      </c>
      <c r="L87" t="s">
        <v>57</v>
      </c>
      <c r="M87" t="s">
        <v>75</v>
      </c>
    </row>
    <row r="88" spans="1:13">
      <c r="A88" t="s">
        <v>221</v>
      </c>
      <c r="B88" s="6">
        <v>45720</v>
      </c>
      <c r="C88" t="s">
        <v>222</v>
      </c>
      <c r="D88" t="s">
        <v>71</v>
      </c>
      <c r="E88" t="s">
        <v>53</v>
      </c>
      <c r="F88" t="s">
        <v>119</v>
      </c>
      <c r="G88">
        <v>5</v>
      </c>
      <c r="H88" s="7">
        <v>6500</v>
      </c>
      <c r="I88" s="8">
        <v>0</v>
      </c>
      <c r="J88" s="7">
        <v>32500</v>
      </c>
      <c r="K88" s="7">
        <v>5471.71</v>
      </c>
      <c r="L88" t="s">
        <v>49</v>
      </c>
      <c r="M88" t="s">
        <v>44</v>
      </c>
    </row>
    <row r="89" spans="1:13">
      <c r="A89" t="s">
        <v>223</v>
      </c>
      <c r="B89" s="6">
        <v>45716</v>
      </c>
      <c r="C89" t="s">
        <v>224</v>
      </c>
      <c r="D89" t="s">
        <v>40</v>
      </c>
      <c r="E89" t="s">
        <v>53</v>
      </c>
      <c r="F89" t="s">
        <v>54</v>
      </c>
      <c r="G89">
        <v>6</v>
      </c>
      <c r="H89" s="7">
        <v>7800</v>
      </c>
      <c r="I89" s="8">
        <v>0.1</v>
      </c>
      <c r="J89" s="7">
        <v>42120</v>
      </c>
      <c r="K89" s="7">
        <v>5324.79</v>
      </c>
      <c r="L89" t="s">
        <v>68</v>
      </c>
      <c r="M89" t="s">
        <v>75</v>
      </c>
    </row>
    <row r="90" spans="1:13">
      <c r="A90" t="s">
        <v>225</v>
      </c>
      <c r="B90" s="6">
        <v>45905</v>
      </c>
      <c r="C90" t="s">
        <v>215</v>
      </c>
      <c r="D90" t="s">
        <v>71</v>
      </c>
      <c r="E90" t="s">
        <v>66</v>
      </c>
      <c r="F90" t="s">
        <v>78</v>
      </c>
      <c r="G90">
        <v>4</v>
      </c>
      <c r="H90" s="7">
        <v>700</v>
      </c>
      <c r="I90" s="8">
        <v>0.05</v>
      </c>
      <c r="J90" s="7">
        <v>2660</v>
      </c>
      <c r="K90" s="7">
        <v>558.6</v>
      </c>
      <c r="L90" t="s">
        <v>43</v>
      </c>
      <c r="M90" t="s">
        <v>44</v>
      </c>
    </row>
    <row r="91" spans="1:13">
      <c r="A91" t="s">
        <v>226</v>
      </c>
      <c r="B91" s="6">
        <v>45693</v>
      </c>
      <c r="C91" t="s">
        <v>227</v>
      </c>
      <c r="D91" t="s">
        <v>52</v>
      </c>
      <c r="E91" t="s">
        <v>41</v>
      </c>
      <c r="F91" t="s">
        <v>85</v>
      </c>
      <c r="G91">
        <v>1</v>
      </c>
      <c r="H91" s="7">
        <v>1600</v>
      </c>
      <c r="I91" s="8">
        <v>0.1</v>
      </c>
      <c r="J91" s="7">
        <v>1440</v>
      </c>
      <c r="K91" s="7">
        <v>232.08</v>
      </c>
      <c r="L91" t="s">
        <v>43</v>
      </c>
      <c r="M91" t="s">
        <v>75</v>
      </c>
    </row>
    <row r="92" spans="1:13">
      <c r="A92" t="s">
        <v>228</v>
      </c>
      <c r="B92" s="6">
        <v>45734</v>
      </c>
      <c r="C92" t="s">
        <v>229</v>
      </c>
      <c r="D92" t="s">
        <v>52</v>
      </c>
      <c r="E92" t="s">
        <v>41</v>
      </c>
      <c r="F92" t="s">
        <v>85</v>
      </c>
      <c r="G92">
        <v>5</v>
      </c>
      <c r="H92" s="7">
        <v>1600</v>
      </c>
      <c r="I92" s="8">
        <v>0.2</v>
      </c>
      <c r="J92" s="7">
        <v>6400</v>
      </c>
      <c r="K92" s="7">
        <v>450.26</v>
      </c>
      <c r="L92" t="s">
        <v>68</v>
      </c>
      <c r="M92" t="s">
        <v>44</v>
      </c>
    </row>
    <row r="93" spans="1:13">
      <c r="A93" t="s">
        <v>230</v>
      </c>
      <c r="B93" s="6">
        <v>46015</v>
      </c>
      <c r="C93" t="s">
        <v>93</v>
      </c>
      <c r="D93" t="s">
        <v>52</v>
      </c>
      <c r="E93" t="s">
        <v>53</v>
      </c>
      <c r="F93" t="s">
        <v>54</v>
      </c>
      <c r="G93">
        <v>1</v>
      </c>
      <c r="H93" s="7">
        <v>7800</v>
      </c>
      <c r="I93" s="8">
        <v>0.1</v>
      </c>
      <c r="J93" s="7">
        <v>7020</v>
      </c>
      <c r="K93" s="7">
        <v>1152.3499999999999</v>
      </c>
      <c r="L93" t="s">
        <v>57</v>
      </c>
      <c r="M93" t="s">
        <v>75</v>
      </c>
    </row>
    <row r="94" spans="1:13">
      <c r="A94" t="s">
        <v>231</v>
      </c>
      <c r="B94" s="6">
        <v>45997</v>
      </c>
      <c r="C94" t="s">
        <v>129</v>
      </c>
      <c r="D94" t="s">
        <v>52</v>
      </c>
      <c r="E94" t="s">
        <v>47</v>
      </c>
      <c r="F94" t="s">
        <v>98</v>
      </c>
      <c r="G94">
        <v>5</v>
      </c>
      <c r="H94" s="7">
        <v>14500</v>
      </c>
      <c r="I94" s="8">
        <v>0.2</v>
      </c>
      <c r="J94" s="7">
        <v>58000</v>
      </c>
      <c r="K94" s="7">
        <v>3660.91</v>
      </c>
      <c r="L94" t="s">
        <v>49</v>
      </c>
      <c r="M94" t="s">
        <v>75</v>
      </c>
    </row>
    <row r="95" spans="1:13">
      <c r="A95" t="s">
        <v>232</v>
      </c>
      <c r="B95" s="6">
        <v>45709</v>
      </c>
      <c r="C95" t="s">
        <v>233</v>
      </c>
      <c r="D95" t="s">
        <v>52</v>
      </c>
      <c r="E95" t="s">
        <v>47</v>
      </c>
      <c r="F95" t="s">
        <v>98</v>
      </c>
      <c r="G95">
        <v>4</v>
      </c>
      <c r="H95" s="7">
        <v>14500</v>
      </c>
      <c r="I95" s="8">
        <v>0.05</v>
      </c>
      <c r="J95" s="7">
        <v>55100</v>
      </c>
      <c r="K95" s="7">
        <v>4103.4399999999996</v>
      </c>
      <c r="L95" t="s">
        <v>68</v>
      </c>
      <c r="M95" t="s">
        <v>75</v>
      </c>
    </row>
    <row r="96" spans="1:13">
      <c r="A96" t="s">
        <v>234</v>
      </c>
      <c r="B96" s="6">
        <v>45977</v>
      </c>
      <c r="C96" t="s">
        <v>235</v>
      </c>
      <c r="D96" t="s">
        <v>40</v>
      </c>
      <c r="E96" t="s">
        <v>41</v>
      </c>
      <c r="F96" t="s">
        <v>91</v>
      </c>
      <c r="G96">
        <v>3</v>
      </c>
      <c r="H96" s="7">
        <v>220</v>
      </c>
      <c r="I96" s="8">
        <v>0.15</v>
      </c>
      <c r="J96" s="7">
        <v>561</v>
      </c>
      <c r="K96" s="7">
        <v>93.73</v>
      </c>
      <c r="L96" t="s">
        <v>49</v>
      </c>
      <c r="M96" t="s">
        <v>44</v>
      </c>
    </row>
    <row r="97" spans="1:13">
      <c r="A97" t="s">
        <v>236</v>
      </c>
      <c r="B97" s="6">
        <v>45778</v>
      </c>
      <c r="C97" t="s">
        <v>237</v>
      </c>
      <c r="D97" t="s">
        <v>71</v>
      </c>
      <c r="E97" t="s">
        <v>47</v>
      </c>
      <c r="F97" t="s">
        <v>60</v>
      </c>
      <c r="G97">
        <v>1</v>
      </c>
      <c r="H97" s="7">
        <v>2500</v>
      </c>
      <c r="I97" s="8">
        <v>0</v>
      </c>
      <c r="J97" s="7">
        <v>2500</v>
      </c>
      <c r="K97" s="7">
        <v>377.47</v>
      </c>
      <c r="L97" t="s">
        <v>68</v>
      </c>
      <c r="M97" t="s">
        <v>44</v>
      </c>
    </row>
    <row r="98" spans="1:13">
      <c r="A98" t="s">
        <v>238</v>
      </c>
      <c r="B98" s="6">
        <v>45681</v>
      </c>
      <c r="C98" t="s">
        <v>73</v>
      </c>
      <c r="D98" t="s">
        <v>40</v>
      </c>
      <c r="E98" t="s">
        <v>41</v>
      </c>
      <c r="F98" t="s">
        <v>85</v>
      </c>
      <c r="G98">
        <v>3</v>
      </c>
      <c r="H98" s="7">
        <v>1600</v>
      </c>
      <c r="I98" s="8">
        <v>0.15</v>
      </c>
      <c r="J98" s="7">
        <v>4080</v>
      </c>
      <c r="K98" s="7">
        <v>207.23</v>
      </c>
      <c r="L98" t="s">
        <v>43</v>
      </c>
      <c r="M98" t="s">
        <v>75</v>
      </c>
    </row>
    <row r="99" spans="1:13">
      <c r="A99" t="s">
        <v>239</v>
      </c>
      <c r="B99" s="6">
        <v>45947</v>
      </c>
      <c r="C99" t="s">
        <v>240</v>
      </c>
      <c r="D99" t="s">
        <v>71</v>
      </c>
      <c r="E99" t="s">
        <v>53</v>
      </c>
      <c r="F99" t="s">
        <v>63</v>
      </c>
      <c r="G99">
        <v>5</v>
      </c>
      <c r="H99" s="7">
        <v>8500</v>
      </c>
      <c r="I99" s="8">
        <v>0.15</v>
      </c>
      <c r="J99" s="7">
        <v>36125</v>
      </c>
      <c r="K99" s="7">
        <v>4575.3599999999997</v>
      </c>
      <c r="L99" t="s">
        <v>74</v>
      </c>
      <c r="M99" t="s">
        <v>75</v>
      </c>
    </row>
    <row r="100" spans="1:13">
      <c r="A100" t="s">
        <v>241</v>
      </c>
      <c r="B100" s="6">
        <v>45956</v>
      </c>
      <c r="C100" t="s">
        <v>242</v>
      </c>
      <c r="D100" t="s">
        <v>71</v>
      </c>
      <c r="E100" t="s">
        <v>66</v>
      </c>
      <c r="F100" t="s">
        <v>67</v>
      </c>
      <c r="G100">
        <v>4</v>
      </c>
      <c r="H100" s="7">
        <v>2200</v>
      </c>
      <c r="I100" s="8">
        <v>0.1</v>
      </c>
      <c r="J100" s="7">
        <v>7920</v>
      </c>
      <c r="K100" s="7">
        <v>1201.42</v>
      </c>
      <c r="L100" t="s">
        <v>57</v>
      </c>
      <c r="M100" t="s">
        <v>75</v>
      </c>
    </row>
    <row r="101" spans="1:13">
      <c r="A101" t="s">
        <v>243</v>
      </c>
      <c r="B101" s="6">
        <v>46004</v>
      </c>
      <c r="C101" t="s">
        <v>51</v>
      </c>
      <c r="D101" t="s">
        <v>71</v>
      </c>
      <c r="E101" t="s">
        <v>47</v>
      </c>
      <c r="F101" t="s">
        <v>60</v>
      </c>
      <c r="G101">
        <v>3</v>
      </c>
      <c r="H101" s="7">
        <v>2500</v>
      </c>
      <c r="I101" s="8">
        <v>0.2</v>
      </c>
      <c r="J101" s="7">
        <v>6000</v>
      </c>
      <c r="K101" s="7">
        <v>347.19</v>
      </c>
      <c r="L101" t="s">
        <v>57</v>
      </c>
      <c r="M101" t="s">
        <v>75</v>
      </c>
    </row>
    <row r="102" spans="1:13">
      <c r="A102" t="s">
        <v>244</v>
      </c>
      <c r="B102" s="6">
        <v>45891</v>
      </c>
      <c r="C102" t="s">
        <v>179</v>
      </c>
      <c r="D102" t="s">
        <v>71</v>
      </c>
      <c r="E102" t="s">
        <v>66</v>
      </c>
      <c r="F102" t="s">
        <v>149</v>
      </c>
      <c r="G102">
        <v>1</v>
      </c>
      <c r="H102" s="7">
        <v>1800</v>
      </c>
      <c r="I102" s="8">
        <v>0.05</v>
      </c>
      <c r="J102" s="7">
        <v>1710</v>
      </c>
      <c r="K102" s="7">
        <v>211.22</v>
      </c>
      <c r="L102" t="s">
        <v>68</v>
      </c>
      <c r="M102" t="s">
        <v>75</v>
      </c>
    </row>
    <row r="103" spans="1:13">
      <c r="A103" t="s">
        <v>245</v>
      </c>
      <c r="B103" s="6">
        <v>46016</v>
      </c>
      <c r="C103" t="s">
        <v>62</v>
      </c>
      <c r="D103" t="s">
        <v>40</v>
      </c>
      <c r="E103" t="s">
        <v>66</v>
      </c>
      <c r="F103" t="s">
        <v>67</v>
      </c>
      <c r="G103">
        <v>1</v>
      </c>
      <c r="H103" s="7">
        <v>2200</v>
      </c>
      <c r="I103" s="8">
        <v>0.2</v>
      </c>
      <c r="J103" s="7">
        <v>1760</v>
      </c>
      <c r="K103" s="7">
        <v>261.2</v>
      </c>
      <c r="L103" t="s">
        <v>49</v>
      </c>
      <c r="M103" t="s">
        <v>75</v>
      </c>
    </row>
    <row r="104" spans="1:13">
      <c r="A104" t="s">
        <v>246</v>
      </c>
      <c r="B104" s="6">
        <v>45804</v>
      </c>
      <c r="C104" t="s">
        <v>137</v>
      </c>
      <c r="D104" t="s">
        <v>56</v>
      </c>
      <c r="E104" t="s">
        <v>53</v>
      </c>
      <c r="F104" t="s">
        <v>162</v>
      </c>
      <c r="G104">
        <v>5</v>
      </c>
      <c r="H104" s="7">
        <v>12000</v>
      </c>
      <c r="I104" s="8">
        <v>0.1</v>
      </c>
      <c r="J104" s="7">
        <v>54000</v>
      </c>
      <c r="K104" s="7">
        <v>8285.8799999999992</v>
      </c>
      <c r="L104" t="s">
        <v>74</v>
      </c>
      <c r="M104" t="s">
        <v>44</v>
      </c>
    </row>
    <row r="105" spans="1:13">
      <c r="A105" t="s">
        <v>247</v>
      </c>
      <c r="B105" s="6">
        <v>45979</v>
      </c>
      <c r="C105" t="s">
        <v>213</v>
      </c>
      <c r="D105" t="s">
        <v>56</v>
      </c>
      <c r="E105" t="s">
        <v>66</v>
      </c>
      <c r="F105" t="s">
        <v>135</v>
      </c>
      <c r="G105">
        <v>5</v>
      </c>
      <c r="H105" s="7">
        <v>900</v>
      </c>
      <c r="I105" s="8">
        <v>0.1</v>
      </c>
      <c r="J105" s="7">
        <v>4050</v>
      </c>
      <c r="K105" s="7">
        <v>656.82</v>
      </c>
      <c r="L105" t="s">
        <v>49</v>
      </c>
      <c r="M105" t="s">
        <v>75</v>
      </c>
    </row>
    <row r="106" spans="1:13">
      <c r="A106" t="s">
        <v>248</v>
      </c>
      <c r="B106" s="6">
        <v>45825</v>
      </c>
      <c r="C106" t="s">
        <v>249</v>
      </c>
      <c r="D106" t="s">
        <v>71</v>
      </c>
      <c r="E106" t="s">
        <v>53</v>
      </c>
      <c r="F106" t="s">
        <v>162</v>
      </c>
      <c r="G106">
        <v>5</v>
      </c>
      <c r="H106" s="7">
        <v>12000</v>
      </c>
      <c r="I106" s="8">
        <v>0.1</v>
      </c>
      <c r="J106" s="7">
        <v>54000</v>
      </c>
      <c r="K106" s="7">
        <v>7016.56</v>
      </c>
      <c r="L106" t="s">
        <v>68</v>
      </c>
      <c r="M106" t="s">
        <v>44</v>
      </c>
    </row>
    <row r="107" spans="1:13">
      <c r="A107" t="s">
        <v>250</v>
      </c>
      <c r="B107" s="6">
        <v>45789</v>
      </c>
      <c r="C107" t="s">
        <v>251</v>
      </c>
      <c r="D107" t="s">
        <v>56</v>
      </c>
      <c r="E107" t="s">
        <v>41</v>
      </c>
      <c r="F107" t="s">
        <v>121</v>
      </c>
      <c r="G107">
        <v>4</v>
      </c>
      <c r="H107" s="7">
        <v>450</v>
      </c>
      <c r="I107" s="8">
        <v>0</v>
      </c>
      <c r="J107" s="7">
        <v>1800</v>
      </c>
      <c r="K107" s="7">
        <v>184.54</v>
      </c>
      <c r="L107" t="s">
        <v>74</v>
      </c>
      <c r="M107" t="s">
        <v>75</v>
      </c>
    </row>
    <row r="108" spans="1:13">
      <c r="A108" t="s">
        <v>252</v>
      </c>
      <c r="B108" s="6">
        <v>45943</v>
      </c>
      <c r="C108" t="s">
        <v>253</v>
      </c>
      <c r="D108" t="s">
        <v>40</v>
      </c>
      <c r="E108" t="s">
        <v>66</v>
      </c>
      <c r="F108" t="s">
        <v>135</v>
      </c>
      <c r="G108">
        <v>3</v>
      </c>
      <c r="H108" s="7">
        <v>900</v>
      </c>
      <c r="I108" s="8">
        <v>0.2</v>
      </c>
      <c r="J108" s="7">
        <v>2160</v>
      </c>
      <c r="K108" s="7">
        <v>64.8</v>
      </c>
      <c r="L108" t="s">
        <v>68</v>
      </c>
      <c r="M108" t="s">
        <v>75</v>
      </c>
    </row>
    <row r="109" spans="1:13">
      <c r="A109" t="s">
        <v>254</v>
      </c>
      <c r="B109" s="6">
        <v>45957</v>
      </c>
      <c r="C109" t="s">
        <v>65</v>
      </c>
      <c r="D109" t="s">
        <v>56</v>
      </c>
      <c r="E109" t="s">
        <v>47</v>
      </c>
      <c r="F109" t="s">
        <v>98</v>
      </c>
      <c r="G109">
        <v>4</v>
      </c>
      <c r="H109" s="7">
        <v>14500</v>
      </c>
      <c r="I109" s="8">
        <v>0</v>
      </c>
      <c r="J109" s="7">
        <v>58000</v>
      </c>
      <c r="K109" s="7">
        <v>10389.39</v>
      </c>
      <c r="L109" t="s">
        <v>43</v>
      </c>
      <c r="M109" t="s">
        <v>75</v>
      </c>
    </row>
    <row r="110" spans="1:13">
      <c r="A110" t="s">
        <v>255</v>
      </c>
      <c r="B110" s="6">
        <v>45970</v>
      </c>
      <c r="C110" t="s">
        <v>100</v>
      </c>
      <c r="D110" t="s">
        <v>40</v>
      </c>
      <c r="E110" t="s">
        <v>66</v>
      </c>
      <c r="F110" t="s">
        <v>67</v>
      </c>
      <c r="G110">
        <v>6</v>
      </c>
      <c r="H110" s="7">
        <v>2200</v>
      </c>
      <c r="I110" s="8">
        <v>0.15</v>
      </c>
      <c r="J110" s="7">
        <v>11220</v>
      </c>
      <c r="K110" s="7">
        <v>518.01</v>
      </c>
      <c r="L110" t="s">
        <v>49</v>
      </c>
      <c r="M110" t="s">
        <v>44</v>
      </c>
    </row>
    <row r="111" spans="1:13">
      <c r="A111" t="s">
        <v>256</v>
      </c>
      <c r="B111" s="6">
        <v>45813</v>
      </c>
      <c r="C111" t="s">
        <v>217</v>
      </c>
      <c r="D111" t="s">
        <v>40</v>
      </c>
      <c r="E111" t="s">
        <v>47</v>
      </c>
      <c r="F111" t="s">
        <v>98</v>
      </c>
      <c r="G111">
        <v>5</v>
      </c>
      <c r="H111" s="7">
        <v>14500</v>
      </c>
      <c r="I111" s="8">
        <v>0.05</v>
      </c>
      <c r="J111" s="7">
        <v>68875</v>
      </c>
      <c r="K111" s="7">
        <v>8587.56</v>
      </c>
      <c r="L111" t="s">
        <v>68</v>
      </c>
      <c r="M111" t="s">
        <v>75</v>
      </c>
    </row>
    <row r="112" spans="1:13">
      <c r="A112" t="s">
        <v>257</v>
      </c>
      <c r="B112" s="6">
        <v>45958</v>
      </c>
      <c r="C112" t="s">
        <v>258</v>
      </c>
      <c r="D112" t="s">
        <v>52</v>
      </c>
      <c r="E112" t="s">
        <v>47</v>
      </c>
      <c r="F112" t="s">
        <v>60</v>
      </c>
      <c r="G112">
        <v>5</v>
      </c>
      <c r="H112" s="7">
        <v>2500</v>
      </c>
      <c r="I112" s="8">
        <v>0.15</v>
      </c>
      <c r="J112" s="7">
        <v>10625</v>
      </c>
      <c r="K112" s="7">
        <v>1888.58</v>
      </c>
      <c r="L112" t="s">
        <v>68</v>
      </c>
      <c r="M112" t="s">
        <v>44</v>
      </c>
    </row>
    <row r="113" spans="1:13">
      <c r="A113" t="s">
        <v>259</v>
      </c>
      <c r="B113" s="6">
        <v>46011</v>
      </c>
      <c r="C113" t="s">
        <v>260</v>
      </c>
      <c r="D113" t="s">
        <v>71</v>
      </c>
      <c r="E113" t="s">
        <v>66</v>
      </c>
      <c r="F113" t="s">
        <v>149</v>
      </c>
      <c r="G113">
        <v>2</v>
      </c>
      <c r="H113" s="7">
        <v>1800</v>
      </c>
      <c r="I113" s="8">
        <v>0.1</v>
      </c>
      <c r="J113" s="7">
        <v>3240</v>
      </c>
      <c r="K113" s="7">
        <v>197.31</v>
      </c>
      <c r="L113" t="s">
        <v>68</v>
      </c>
      <c r="M113" t="s">
        <v>75</v>
      </c>
    </row>
    <row r="114" spans="1:13">
      <c r="A114" t="s">
        <v>261</v>
      </c>
      <c r="B114" s="6">
        <v>45689</v>
      </c>
      <c r="C114" t="s">
        <v>235</v>
      </c>
      <c r="D114" t="s">
        <v>56</v>
      </c>
      <c r="E114" t="s">
        <v>53</v>
      </c>
      <c r="F114" t="s">
        <v>63</v>
      </c>
      <c r="G114">
        <v>4</v>
      </c>
      <c r="H114" s="7">
        <v>8500</v>
      </c>
      <c r="I114" s="8">
        <v>0</v>
      </c>
      <c r="J114" s="7">
        <v>34000</v>
      </c>
      <c r="K114" s="7">
        <v>6325.46</v>
      </c>
      <c r="L114" t="s">
        <v>43</v>
      </c>
      <c r="M114" t="s">
        <v>44</v>
      </c>
    </row>
    <row r="115" spans="1:13">
      <c r="A115" t="s">
        <v>262</v>
      </c>
      <c r="B115" s="6">
        <v>45683</v>
      </c>
      <c r="C115" t="s">
        <v>263</v>
      </c>
      <c r="D115" t="s">
        <v>71</v>
      </c>
      <c r="E115" t="s">
        <v>53</v>
      </c>
      <c r="F115" t="s">
        <v>162</v>
      </c>
      <c r="G115">
        <v>1</v>
      </c>
      <c r="H115" s="7">
        <v>12000</v>
      </c>
      <c r="I115" s="8">
        <v>0.2</v>
      </c>
      <c r="J115" s="7">
        <v>9600</v>
      </c>
      <c r="K115" s="7">
        <v>414.19</v>
      </c>
      <c r="L115" t="s">
        <v>74</v>
      </c>
      <c r="M115" t="s">
        <v>44</v>
      </c>
    </row>
    <row r="116" spans="1:13">
      <c r="A116" t="s">
        <v>264</v>
      </c>
      <c r="B116" s="6">
        <v>45826</v>
      </c>
      <c r="C116" t="s">
        <v>265</v>
      </c>
      <c r="D116" t="s">
        <v>40</v>
      </c>
      <c r="E116" t="s">
        <v>41</v>
      </c>
      <c r="F116" t="s">
        <v>42</v>
      </c>
      <c r="G116">
        <v>2</v>
      </c>
      <c r="H116" s="7">
        <v>120</v>
      </c>
      <c r="I116" s="8">
        <v>0.2</v>
      </c>
      <c r="J116" s="7">
        <v>192</v>
      </c>
      <c r="K116" s="7">
        <v>9.6199999999999992</v>
      </c>
      <c r="L116" t="s">
        <v>74</v>
      </c>
      <c r="M116" t="s">
        <v>44</v>
      </c>
    </row>
    <row r="117" spans="1:13">
      <c r="A117" t="s">
        <v>266</v>
      </c>
      <c r="B117" s="6">
        <v>45996</v>
      </c>
      <c r="C117" t="s">
        <v>267</v>
      </c>
      <c r="D117" t="s">
        <v>71</v>
      </c>
      <c r="E117" t="s">
        <v>47</v>
      </c>
      <c r="F117" t="s">
        <v>88</v>
      </c>
      <c r="G117">
        <v>2</v>
      </c>
      <c r="H117" s="7">
        <v>1800</v>
      </c>
      <c r="I117" s="8">
        <v>0.2</v>
      </c>
      <c r="J117" s="7">
        <v>2880</v>
      </c>
      <c r="K117" s="7">
        <v>177.99</v>
      </c>
      <c r="L117" t="s">
        <v>74</v>
      </c>
      <c r="M117" t="s">
        <v>75</v>
      </c>
    </row>
    <row r="118" spans="1:13">
      <c r="A118" t="s">
        <v>268</v>
      </c>
      <c r="B118" s="6">
        <v>45684</v>
      </c>
      <c r="C118" t="s">
        <v>168</v>
      </c>
      <c r="D118" t="s">
        <v>52</v>
      </c>
      <c r="E118" t="s">
        <v>47</v>
      </c>
      <c r="F118" t="s">
        <v>48</v>
      </c>
      <c r="G118">
        <v>4</v>
      </c>
      <c r="H118" s="7">
        <v>52000</v>
      </c>
      <c r="I118" s="8">
        <v>0.15</v>
      </c>
      <c r="J118" s="7">
        <v>176800</v>
      </c>
      <c r="K118" s="7">
        <v>26870.55</v>
      </c>
      <c r="L118" t="s">
        <v>43</v>
      </c>
      <c r="M118" t="s">
        <v>44</v>
      </c>
    </row>
    <row r="119" spans="1:13">
      <c r="A119" t="s">
        <v>269</v>
      </c>
      <c r="B119" s="6">
        <v>45889</v>
      </c>
      <c r="C119" t="s">
        <v>87</v>
      </c>
      <c r="D119" t="s">
        <v>71</v>
      </c>
      <c r="E119" t="s">
        <v>47</v>
      </c>
      <c r="F119" t="s">
        <v>88</v>
      </c>
      <c r="G119">
        <v>4</v>
      </c>
      <c r="H119" s="7">
        <v>1800</v>
      </c>
      <c r="I119" s="8">
        <v>0</v>
      </c>
      <c r="J119" s="7">
        <v>7200</v>
      </c>
      <c r="K119" s="7">
        <v>646.07000000000005</v>
      </c>
      <c r="L119" t="s">
        <v>57</v>
      </c>
      <c r="M119" t="s">
        <v>75</v>
      </c>
    </row>
    <row r="120" spans="1:13">
      <c r="A120" t="s">
        <v>270</v>
      </c>
      <c r="B120" s="6">
        <v>45876</v>
      </c>
      <c r="C120" t="s">
        <v>177</v>
      </c>
      <c r="D120" t="s">
        <v>52</v>
      </c>
      <c r="E120" t="s">
        <v>66</v>
      </c>
      <c r="F120" t="s">
        <v>135</v>
      </c>
      <c r="G120">
        <v>1</v>
      </c>
      <c r="H120" s="7">
        <v>900</v>
      </c>
      <c r="I120" s="8">
        <v>0.1</v>
      </c>
      <c r="J120" s="7">
        <v>810</v>
      </c>
      <c r="K120" s="7">
        <v>115.29</v>
      </c>
      <c r="L120" t="s">
        <v>49</v>
      </c>
      <c r="M120" t="s">
        <v>44</v>
      </c>
    </row>
    <row r="121" spans="1:13">
      <c r="A121" t="s">
        <v>271</v>
      </c>
      <c r="B121" s="6">
        <v>45798</v>
      </c>
      <c r="C121" t="s">
        <v>73</v>
      </c>
      <c r="D121" t="s">
        <v>52</v>
      </c>
      <c r="E121" t="s">
        <v>41</v>
      </c>
      <c r="F121" t="s">
        <v>91</v>
      </c>
      <c r="G121">
        <v>5</v>
      </c>
      <c r="H121" s="7">
        <v>220</v>
      </c>
      <c r="I121" s="8">
        <v>0.2</v>
      </c>
      <c r="J121" s="7">
        <v>880</v>
      </c>
      <c r="K121" s="7">
        <v>69.37</v>
      </c>
      <c r="L121" t="s">
        <v>49</v>
      </c>
      <c r="M121" t="s">
        <v>44</v>
      </c>
    </row>
    <row r="122" spans="1:13">
      <c r="A122" t="s">
        <v>272</v>
      </c>
      <c r="B122" s="6">
        <v>45878</v>
      </c>
      <c r="C122" t="s">
        <v>184</v>
      </c>
      <c r="D122" t="s">
        <v>71</v>
      </c>
      <c r="E122" t="s">
        <v>66</v>
      </c>
      <c r="F122" t="s">
        <v>67</v>
      </c>
      <c r="G122">
        <v>4</v>
      </c>
      <c r="H122" s="7">
        <v>2200</v>
      </c>
      <c r="I122" s="8">
        <v>0.15</v>
      </c>
      <c r="J122" s="7">
        <v>7480</v>
      </c>
      <c r="K122" s="7">
        <v>703.56</v>
      </c>
      <c r="L122" t="s">
        <v>49</v>
      </c>
      <c r="M122" t="s">
        <v>75</v>
      </c>
    </row>
    <row r="123" spans="1:13">
      <c r="A123" t="s">
        <v>273</v>
      </c>
      <c r="B123" s="6">
        <v>45876</v>
      </c>
      <c r="C123" t="s">
        <v>117</v>
      </c>
      <c r="D123" t="s">
        <v>56</v>
      </c>
      <c r="E123" t="s">
        <v>41</v>
      </c>
      <c r="F123" t="s">
        <v>42</v>
      </c>
      <c r="G123">
        <v>6</v>
      </c>
      <c r="H123" s="7">
        <v>120</v>
      </c>
      <c r="I123" s="8">
        <v>0.15</v>
      </c>
      <c r="J123" s="7">
        <v>612</v>
      </c>
      <c r="K123" s="7">
        <v>23.4</v>
      </c>
      <c r="L123" t="s">
        <v>49</v>
      </c>
      <c r="M123" t="s">
        <v>44</v>
      </c>
    </row>
    <row r="124" spans="1:13">
      <c r="A124" t="s">
        <v>274</v>
      </c>
      <c r="B124" s="6">
        <v>45879</v>
      </c>
      <c r="C124" t="s">
        <v>275</v>
      </c>
      <c r="D124" t="s">
        <v>56</v>
      </c>
      <c r="E124" t="s">
        <v>53</v>
      </c>
      <c r="F124" t="s">
        <v>63</v>
      </c>
      <c r="G124">
        <v>5</v>
      </c>
      <c r="H124" s="7">
        <v>8500</v>
      </c>
      <c r="I124" s="8">
        <v>0.2</v>
      </c>
      <c r="J124" s="7">
        <v>34000</v>
      </c>
      <c r="K124" s="7">
        <v>3395.56</v>
      </c>
      <c r="L124" t="s">
        <v>49</v>
      </c>
      <c r="M124" t="s">
        <v>75</v>
      </c>
    </row>
    <row r="125" spans="1:13">
      <c r="A125" t="s">
        <v>276</v>
      </c>
      <c r="B125" s="6">
        <v>45839</v>
      </c>
      <c r="C125" t="s">
        <v>46</v>
      </c>
      <c r="D125" t="s">
        <v>40</v>
      </c>
      <c r="E125" t="s">
        <v>41</v>
      </c>
      <c r="F125" t="s">
        <v>85</v>
      </c>
      <c r="G125">
        <v>3</v>
      </c>
      <c r="H125" s="7">
        <v>1600</v>
      </c>
      <c r="I125" s="8">
        <v>0</v>
      </c>
      <c r="J125" s="7">
        <v>4800</v>
      </c>
      <c r="K125" s="7">
        <v>827.84</v>
      </c>
      <c r="L125" t="s">
        <v>74</v>
      </c>
      <c r="M125" t="s">
        <v>44</v>
      </c>
    </row>
    <row r="126" spans="1:13">
      <c r="A126" t="s">
        <v>277</v>
      </c>
      <c r="B126" s="6">
        <v>45994</v>
      </c>
      <c r="C126" t="s">
        <v>251</v>
      </c>
      <c r="D126" t="s">
        <v>71</v>
      </c>
      <c r="E126" t="s">
        <v>47</v>
      </c>
      <c r="F126" t="s">
        <v>88</v>
      </c>
      <c r="G126">
        <v>5</v>
      </c>
      <c r="H126" s="7">
        <v>1800</v>
      </c>
      <c r="I126" s="8">
        <v>0.1</v>
      </c>
      <c r="J126" s="7">
        <v>8100</v>
      </c>
      <c r="K126" s="7">
        <v>513.39</v>
      </c>
      <c r="L126" t="s">
        <v>68</v>
      </c>
      <c r="M126" t="s">
        <v>44</v>
      </c>
    </row>
    <row r="127" spans="1:13">
      <c r="A127" t="s">
        <v>278</v>
      </c>
      <c r="B127" s="6">
        <v>45877</v>
      </c>
      <c r="C127" t="s">
        <v>267</v>
      </c>
      <c r="D127" t="s">
        <v>56</v>
      </c>
      <c r="E127" t="s">
        <v>47</v>
      </c>
      <c r="F127" t="s">
        <v>98</v>
      </c>
      <c r="G127">
        <v>3</v>
      </c>
      <c r="H127" s="7">
        <v>14500</v>
      </c>
      <c r="I127" s="8">
        <v>0.1</v>
      </c>
      <c r="J127" s="7">
        <v>39150</v>
      </c>
      <c r="K127" s="7">
        <v>7534.26</v>
      </c>
      <c r="L127" t="s">
        <v>68</v>
      </c>
      <c r="M127" t="s">
        <v>44</v>
      </c>
    </row>
    <row r="128" spans="1:13">
      <c r="A128" t="s">
        <v>278</v>
      </c>
      <c r="B128" s="6">
        <v>45750</v>
      </c>
      <c r="C128" t="s">
        <v>242</v>
      </c>
      <c r="D128" t="s">
        <v>52</v>
      </c>
      <c r="E128" t="s">
        <v>47</v>
      </c>
      <c r="F128" t="s">
        <v>98</v>
      </c>
      <c r="G128">
        <v>6</v>
      </c>
      <c r="H128" s="7">
        <v>14500</v>
      </c>
      <c r="I128" s="8">
        <v>0</v>
      </c>
      <c r="J128" s="7">
        <v>87000</v>
      </c>
      <c r="K128" s="7">
        <v>8237.27</v>
      </c>
      <c r="L128" t="s">
        <v>43</v>
      </c>
      <c r="M128" t="s">
        <v>44</v>
      </c>
    </row>
    <row r="129" spans="1:13">
      <c r="A129" t="s">
        <v>279</v>
      </c>
      <c r="B129" s="6">
        <v>45850</v>
      </c>
      <c r="C129" t="s">
        <v>146</v>
      </c>
      <c r="D129" t="s">
        <v>52</v>
      </c>
      <c r="E129" t="s">
        <v>41</v>
      </c>
      <c r="F129" t="s">
        <v>42</v>
      </c>
      <c r="G129">
        <v>3</v>
      </c>
      <c r="H129" s="7">
        <v>120</v>
      </c>
      <c r="I129" s="8">
        <v>0.1</v>
      </c>
      <c r="J129" s="7">
        <v>324</v>
      </c>
      <c r="K129" s="7">
        <v>51.99</v>
      </c>
      <c r="L129" t="s">
        <v>43</v>
      </c>
      <c r="M129" t="s">
        <v>44</v>
      </c>
    </row>
    <row r="130" spans="1:13">
      <c r="A130" t="s">
        <v>280</v>
      </c>
      <c r="B130" s="6">
        <v>45684</v>
      </c>
      <c r="C130" t="s">
        <v>258</v>
      </c>
      <c r="D130" t="s">
        <v>71</v>
      </c>
      <c r="E130" t="s">
        <v>47</v>
      </c>
      <c r="F130" t="s">
        <v>48</v>
      </c>
      <c r="G130">
        <v>3</v>
      </c>
      <c r="H130" s="7">
        <v>52000</v>
      </c>
      <c r="I130" s="8">
        <v>0.15</v>
      </c>
      <c r="J130" s="7">
        <v>132600</v>
      </c>
      <c r="K130" s="7">
        <v>17690.189999999999</v>
      </c>
      <c r="L130" t="s">
        <v>57</v>
      </c>
      <c r="M130" t="s">
        <v>75</v>
      </c>
    </row>
    <row r="131" spans="1:13">
      <c r="A131" t="s">
        <v>281</v>
      </c>
      <c r="B131" s="6">
        <v>45870</v>
      </c>
      <c r="C131" t="s">
        <v>182</v>
      </c>
      <c r="D131" t="s">
        <v>71</v>
      </c>
      <c r="E131" t="s">
        <v>47</v>
      </c>
      <c r="F131" t="s">
        <v>88</v>
      </c>
      <c r="G131">
        <v>4</v>
      </c>
      <c r="H131" s="7">
        <v>1800</v>
      </c>
      <c r="I131" s="8">
        <v>0</v>
      </c>
      <c r="J131" s="7">
        <v>7200</v>
      </c>
      <c r="K131" s="7">
        <v>902.3</v>
      </c>
      <c r="L131" t="s">
        <v>43</v>
      </c>
      <c r="M131" t="s">
        <v>75</v>
      </c>
    </row>
    <row r="132" spans="1:13">
      <c r="A132" t="s">
        <v>282</v>
      </c>
      <c r="B132" s="6">
        <v>45927</v>
      </c>
      <c r="C132" t="s">
        <v>283</v>
      </c>
      <c r="D132" t="s">
        <v>40</v>
      </c>
      <c r="E132" t="s">
        <v>53</v>
      </c>
      <c r="F132" t="s">
        <v>54</v>
      </c>
      <c r="G132">
        <v>5</v>
      </c>
      <c r="H132" s="7">
        <v>7800</v>
      </c>
      <c r="I132" s="8">
        <v>0</v>
      </c>
      <c r="J132" s="7">
        <v>39000</v>
      </c>
      <c r="K132" s="7">
        <v>3167.97</v>
      </c>
      <c r="L132" t="s">
        <v>68</v>
      </c>
      <c r="M132" t="s">
        <v>44</v>
      </c>
    </row>
    <row r="133" spans="1:13">
      <c r="A133" t="s">
        <v>284</v>
      </c>
      <c r="B133" s="6">
        <v>45728</v>
      </c>
      <c r="C133" t="s">
        <v>285</v>
      </c>
      <c r="D133" t="s">
        <v>56</v>
      </c>
      <c r="E133" t="s">
        <v>41</v>
      </c>
      <c r="F133" t="s">
        <v>121</v>
      </c>
      <c r="G133">
        <v>1</v>
      </c>
      <c r="H133" s="7">
        <v>450</v>
      </c>
      <c r="I133" s="8">
        <v>0.15</v>
      </c>
      <c r="J133" s="7">
        <v>382.5</v>
      </c>
      <c r="K133" s="7">
        <v>56.24</v>
      </c>
      <c r="L133" t="s">
        <v>74</v>
      </c>
      <c r="M133" t="s">
        <v>44</v>
      </c>
    </row>
    <row r="134" spans="1:13">
      <c r="A134" t="s">
        <v>286</v>
      </c>
      <c r="B134" s="6">
        <v>45852</v>
      </c>
      <c r="C134" t="s">
        <v>287</v>
      </c>
      <c r="D134" t="s">
        <v>71</v>
      </c>
      <c r="E134" t="s">
        <v>41</v>
      </c>
      <c r="F134" t="s">
        <v>121</v>
      </c>
      <c r="G134">
        <v>4</v>
      </c>
      <c r="H134" s="7">
        <v>450</v>
      </c>
      <c r="I134" s="8">
        <v>0</v>
      </c>
      <c r="J134" s="7">
        <v>1800</v>
      </c>
      <c r="K134" s="7">
        <v>269.63</v>
      </c>
      <c r="L134" t="s">
        <v>57</v>
      </c>
      <c r="M134" t="s">
        <v>44</v>
      </c>
    </row>
    <row r="135" spans="1:13">
      <c r="A135" t="s">
        <v>288</v>
      </c>
      <c r="B135" s="6">
        <v>45818</v>
      </c>
      <c r="C135" t="s">
        <v>80</v>
      </c>
      <c r="D135" t="s">
        <v>52</v>
      </c>
      <c r="E135" t="s">
        <v>66</v>
      </c>
      <c r="F135" t="s">
        <v>67</v>
      </c>
      <c r="G135">
        <v>1</v>
      </c>
      <c r="H135" s="7">
        <v>2200</v>
      </c>
      <c r="I135" s="8">
        <v>0.15</v>
      </c>
      <c r="J135" s="7">
        <v>1870</v>
      </c>
      <c r="K135" s="7">
        <v>57.67</v>
      </c>
      <c r="L135" t="s">
        <v>68</v>
      </c>
      <c r="M135" t="s">
        <v>44</v>
      </c>
    </row>
    <row r="136" spans="1:13">
      <c r="A136" t="s">
        <v>289</v>
      </c>
      <c r="B136" s="6">
        <v>45974</v>
      </c>
      <c r="C136" t="s">
        <v>290</v>
      </c>
      <c r="D136" t="s">
        <v>56</v>
      </c>
      <c r="E136" t="s">
        <v>47</v>
      </c>
      <c r="F136" t="s">
        <v>60</v>
      </c>
      <c r="G136">
        <v>1</v>
      </c>
      <c r="H136" s="7">
        <v>2500</v>
      </c>
      <c r="I136" s="8">
        <v>0.05</v>
      </c>
      <c r="J136" s="7">
        <v>2375</v>
      </c>
      <c r="K136" s="7">
        <v>313.99</v>
      </c>
      <c r="L136" t="s">
        <v>57</v>
      </c>
      <c r="M136" t="s">
        <v>44</v>
      </c>
    </row>
    <row r="137" spans="1:13">
      <c r="A137" t="s">
        <v>291</v>
      </c>
      <c r="B137" s="6">
        <v>45860</v>
      </c>
      <c r="C137" t="s">
        <v>292</v>
      </c>
      <c r="D137" t="s">
        <v>56</v>
      </c>
      <c r="E137" t="s">
        <v>53</v>
      </c>
      <c r="F137" t="s">
        <v>119</v>
      </c>
      <c r="G137">
        <v>2</v>
      </c>
      <c r="H137" s="7">
        <v>6500</v>
      </c>
      <c r="I137" s="8">
        <v>0</v>
      </c>
      <c r="J137" s="7">
        <v>13000</v>
      </c>
      <c r="K137" s="7">
        <v>2101.81</v>
      </c>
      <c r="L137" t="s">
        <v>49</v>
      </c>
      <c r="M137" t="s">
        <v>44</v>
      </c>
    </row>
    <row r="138" spans="1:13">
      <c r="A138" t="s">
        <v>293</v>
      </c>
      <c r="B138" s="6">
        <v>45836</v>
      </c>
      <c r="C138" t="s">
        <v>294</v>
      </c>
      <c r="D138" t="s">
        <v>71</v>
      </c>
      <c r="E138" t="s">
        <v>53</v>
      </c>
      <c r="F138" t="s">
        <v>63</v>
      </c>
      <c r="G138">
        <v>2</v>
      </c>
      <c r="H138" s="7">
        <v>8500</v>
      </c>
      <c r="I138" s="8">
        <v>0.1</v>
      </c>
      <c r="J138" s="7">
        <v>15300</v>
      </c>
      <c r="K138" s="7">
        <v>1171.42</v>
      </c>
      <c r="L138" t="s">
        <v>43</v>
      </c>
      <c r="M138" t="s">
        <v>44</v>
      </c>
    </row>
    <row r="139" spans="1:13">
      <c r="A139" t="s">
        <v>295</v>
      </c>
      <c r="B139" s="6">
        <v>45993</v>
      </c>
      <c r="C139" t="s">
        <v>296</v>
      </c>
      <c r="D139" t="s">
        <v>71</v>
      </c>
      <c r="E139" t="s">
        <v>66</v>
      </c>
      <c r="F139" t="s">
        <v>149</v>
      </c>
      <c r="G139">
        <v>5</v>
      </c>
      <c r="H139" s="7">
        <v>1800</v>
      </c>
      <c r="I139" s="8">
        <v>0.2</v>
      </c>
      <c r="J139" s="7">
        <v>7200</v>
      </c>
      <c r="K139" s="7">
        <v>589.14</v>
      </c>
      <c r="L139" t="s">
        <v>43</v>
      </c>
      <c r="M139" t="s">
        <v>75</v>
      </c>
    </row>
    <row r="140" spans="1:13">
      <c r="A140" t="s">
        <v>297</v>
      </c>
      <c r="B140" s="6">
        <v>45979</v>
      </c>
      <c r="C140" t="s">
        <v>117</v>
      </c>
      <c r="D140" t="s">
        <v>71</v>
      </c>
      <c r="E140" t="s">
        <v>66</v>
      </c>
      <c r="F140" t="s">
        <v>135</v>
      </c>
      <c r="G140">
        <v>4</v>
      </c>
      <c r="H140" s="7">
        <v>900</v>
      </c>
      <c r="I140" s="8">
        <v>0.15</v>
      </c>
      <c r="J140" s="7">
        <v>3060</v>
      </c>
      <c r="K140" s="7">
        <v>393.28</v>
      </c>
      <c r="L140" t="s">
        <v>68</v>
      </c>
      <c r="M140" t="s">
        <v>44</v>
      </c>
    </row>
    <row r="141" spans="1:13">
      <c r="A141" t="s">
        <v>298</v>
      </c>
      <c r="B141" s="6">
        <v>45838</v>
      </c>
      <c r="C141" t="s">
        <v>157</v>
      </c>
      <c r="D141" t="s">
        <v>40</v>
      </c>
      <c r="E141" t="s">
        <v>41</v>
      </c>
      <c r="F141" t="s">
        <v>91</v>
      </c>
      <c r="G141">
        <v>4</v>
      </c>
      <c r="H141" s="7">
        <v>220</v>
      </c>
      <c r="I141" s="8">
        <v>0</v>
      </c>
      <c r="J141" s="7">
        <v>880</v>
      </c>
      <c r="K141" s="7">
        <v>78.41</v>
      </c>
      <c r="L141" t="s">
        <v>68</v>
      </c>
      <c r="M141" t="s">
        <v>44</v>
      </c>
    </row>
    <row r="142" spans="1:13">
      <c r="A142" t="s">
        <v>299</v>
      </c>
      <c r="B142" s="6">
        <v>45988</v>
      </c>
      <c r="C142" t="s">
        <v>300</v>
      </c>
      <c r="D142" t="s">
        <v>52</v>
      </c>
      <c r="E142" t="s">
        <v>66</v>
      </c>
      <c r="F142" t="s">
        <v>135</v>
      </c>
      <c r="G142">
        <v>4</v>
      </c>
      <c r="H142" s="7">
        <v>900</v>
      </c>
      <c r="I142" s="8">
        <v>0.2</v>
      </c>
      <c r="J142" s="7">
        <v>2880</v>
      </c>
      <c r="K142" s="7">
        <v>329.17</v>
      </c>
      <c r="L142" t="s">
        <v>68</v>
      </c>
      <c r="M142" t="s">
        <v>75</v>
      </c>
    </row>
    <row r="143" spans="1:13">
      <c r="A143" t="s">
        <v>301</v>
      </c>
      <c r="B143" s="6">
        <v>45914</v>
      </c>
      <c r="C143" t="s">
        <v>129</v>
      </c>
      <c r="D143" t="s">
        <v>40</v>
      </c>
      <c r="E143" t="s">
        <v>66</v>
      </c>
      <c r="F143" t="s">
        <v>135</v>
      </c>
      <c r="G143">
        <v>3</v>
      </c>
      <c r="H143" s="7">
        <v>900</v>
      </c>
      <c r="I143" s="8">
        <v>0</v>
      </c>
      <c r="J143" s="7">
        <v>2700</v>
      </c>
      <c r="K143" s="7">
        <v>433.97</v>
      </c>
      <c r="L143" t="s">
        <v>74</v>
      </c>
      <c r="M143" t="s">
        <v>44</v>
      </c>
    </row>
    <row r="144" spans="1:13">
      <c r="A144" t="s">
        <v>302</v>
      </c>
      <c r="B144" s="6">
        <v>45784</v>
      </c>
      <c r="C144" t="s">
        <v>303</v>
      </c>
      <c r="D144" t="s">
        <v>52</v>
      </c>
      <c r="E144" t="s">
        <v>53</v>
      </c>
      <c r="F144" t="s">
        <v>119</v>
      </c>
      <c r="G144">
        <v>3</v>
      </c>
      <c r="H144" s="7">
        <v>6500</v>
      </c>
      <c r="I144" s="8">
        <v>0.1</v>
      </c>
      <c r="J144" s="7">
        <v>17550</v>
      </c>
      <c r="K144" s="7">
        <v>1877.62</v>
      </c>
      <c r="L144" t="s">
        <v>68</v>
      </c>
      <c r="M144" t="s">
        <v>44</v>
      </c>
    </row>
    <row r="145" spans="1:13">
      <c r="A145" t="s">
        <v>304</v>
      </c>
      <c r="B145" s="6">
        <v>45981</v>
      </c>
      <c r="C145" t="s">
        <v>263</v>
      </c>
      <c r="D145" t="s">
        <v>40</v>
      </c>
      <c r="E145" t="s">
        <v>41</v>
      </c>
      <c r="F145" t="s">
        <v>121</v>
      </c>
      <c r="G145">
        <v>5</v>
      </c>
      <c r="H145" s="7">
        <v>450</v>
      </c>
      <c r="I145" s="8">
        <v>0.15</v>
      </c>
      <c r="J145" s="7">
        <v>1912.5</v>
      </c>
      <c r="K145" s="7">
        <v>139.54</v>
      </c>
      <c r="L145" t="s">
        <v>43</v>
      </c>
      <c r="M145" t="s">
        <v>44</v>
      </c>
    </row>
    <row r="146" spans="1:13">
      <c r="A146" t="s">
        <v>305</v>
      </c>
      <c r="B146" s="6">
        <v>45828</v>
      </c>
      <c r="C146" t="s">
        <v>161</v>
      </c>
      <c r="D146" t="s">
        <v>71</v>
      </c>
      <c r="E146" t="s">
        <v>41</v>
      </c>
      <c r="F146" t="s">
        <v>85</v>
      </c>
      <c r="G146">
        <v>6</v>
      </c>
      <c r="H146" s="7">
        <v>1600</v>
      </c>
      <c r="I146" s="8">
        <v>0.15</v>
      </c>
      <c r="J146" s="7">
        <v>8160</v>
      </c>
      <c r="K146" s="7">
        <v>392.76</v>
      </c>
      <c r="L146" t="s">
        <v>49</v>
      </c>
      <c r="M146" t="s">
        <v>75</v>
      </c>
    </row>
    <row r="147" spans="1:13">
      <c r="A147" t="s">
        <v>306</v>
      </c>
      <c r="B147" s="6">
        <v>45944</v>
      </c>
      <c r="C147" t="s">
        <v>307</v>
      </c>
      <c r="D147" t="s">
        <v>56</v>
      </c>
      <c r="E147" t="s">
        <v>53</v>
      </c>
      <c r="F147" t="s">
        <v>63</v>
      </c>
      <c r="G147">
        <v>6</v>
      </c>
      <c r="H147" s="7">
        <v>8500</v>
      </c>
      <c r="I147" s="8">
        <v>0.15</v>
      </c>
      <c r="J147" s="7">
        <v>43350</v>
      </c>
      <c r="K147" s="7">
        <v>4719</v>
      </c>
      <c r="L147" t="s">
        <v>49</v>
      </c>
      <c r="M147" t="s">
        <v>75</v>
      </c>
    </row>
    <row r="148" spans="1:13">
      <c r="A148" t="s">
        <v>308</v>
      </c>
      <c r="B148" s="6">
        <v>45816</v>
      </c>
      <c r="C148" t="s">
        <v>240</v>
      </c>
      <c r="D148" t="s">
        <v>71</v>
      </c>
      <c r="E148" t="s">
        <v>41</v>
      </c>
      <c r="F148" t="s">
        <v>91</v>
      </c>
      <c r="G148">
        <v>2</v>
      </c>
      <c r="H148" s="7">
        <v>220</v>
      </c>
      <c r="I148" s="8">
        <v>0.05</v>
      </c>
      <c r="J148" s="7">
        <v>418</v>
      </c>
      <c r="K148" s="7">
        <v>93</v>
      </c>
      <c r="L148" t="s">
        <v>74</v>
      </c>
      <c r="M148" t="s">
        <v>44</v>
      </c>
    </row>
    <row r="149" spans="1:13">
      <c r="A149" t="s">
        <v>309</v>
      </c>
      <c r="B149" s="6">
        <v>45809</v>
      </c>
      <c r="C149" t="s">
        <v>106</v>
      </c>
      <c r="D149" t="s">
        <v>40</v>
      </c>
      <c r="E149" t="s">
        <v>310</v>
      </c>
      <c r="F149" t="s">
        <v>42</v>
      </c>
      <c r="G149">
        <v>5</v>
      </c>
      <c r="H149" s="7">
        <v>120</v>
      </c>
      <c r="I149" s="8">
        <v>0.15</v>
      </c>
      <c r="J149" s="7">
        <v>510</v>
      </c>
      <c r="K149" s="7">
        <v>26.61</v>
      </c>
      <c r="L149" t="s">
        <v>74</v>
      </c>
      <c r="M149" t="s">
        <v>44</v>
      </c>
    </row>
    <row r="150" spans="1:13">
      <c r="A150" t="s">
        <v>311</v>
      </c>
      <c r="B150" s="6">
        <v>45882</v>
      </c>
      <c r="C150" t="s">
        <v>142</v>
      </c>
      <c r="D150" t="s">
        <v>52</v>
      </c>
      <c r="E150" t="s">
        <v>41</v>
      </c>
      <c r="F150" t="s">
        <v>42</v>
      </c>
      <c r="G150">
        <v>4</v>
      </c>
      <c r="H150" s="7">
        <v>120</v>
      </c>
      <c r="I150" s="8">
        <v>0.2</v>
      </c>
      <c r="J150" s="7">
        <v>384</v>
      </c>
      <c r="K150" s="7">
        <v>21.35</v>
      </c>
      <c r="L150" t="s">
        <v>57</v>
      </c>
      <c r="M150" t="s">
        <v>44</v>
      </c>
    </row>
    <row r="151" spans="1:13">
      <c r="A151" t="s">
        <v>312</v>
      </c>
      <c r="B151" s="6">
        <v>45931</v>
      </c>
      <c r="C151" t="s">
        <v>93</v>
      </c>
      <c r="D151" t="s">
        <v>56</v>
      </c>
      <c r="E151" t="s">
        <v>66</v>
      </c>
      <c r="F151" t="s">
        <v>78</v>
      </c>
      <c r="G151">
        <v>3</v>
      </c>
      <c r="H151" s="7">
        <v>700</v>
      </c>
      <c r="I151" s="8">
        <v>0.2</v>
      </c>
      <c r="J151" s="7">
        <v>1680</v>
      </c>
      <c r="K151" s="7">
        <v>281.42</v>
      </c>
      <c r="L151" t="s">
        <v>57</v>
      </c>
      <c r="M151" t="s">
        <v>75</v>
      </c>
    </row>
    <row r="152" spans="1:13">
      <c r="A152" t="s">
        <v>313</v>
      </c>
      <c r="B152" s="6">
        <v>45853</v>
      </c>
      <c r="C152" t="s">
        <v>87</v>
      </c>
      <c r="D152" t="s">
        <v>52</v>
      </c>
      <c r="E152" t="s">
        <v>53</v>
      </c>
      <c r="F152" t="s">
        <v>162</v>
      </c>
      <c r="G152">
        <v>5</v>
      </c>
      <c r="H152" s="7">
        <v>12000</v>
      </c>
      <c r="I152" s="8">
        <v>0.05</v>
      </c>
      <c r="J152" s="7">
        <v>57000</v>
      </c>
      <c r="K152" s="7">
        <v>11524.28</v>
      </c>
      <c r="L152" t="s">
        <v>49</v>
      </c>
      <c r="M152" t="s">
        <v>75</v>
      </c>
    </row>
    <row r="153" spans="1:13">
      <c r="A153" t="s">
        <v>314</v>
      </c>
      <c r="B153" s="6">
        <v>45848</v>
      </c>
      <c r="C153" t="s">
        <v>315</v>
      </c>
      <c r="D153" t="s">
        <v>40</v>
      </c>
      <c r="E153" t="s">
        <v>41</v>
      </c>
      <c r="F153" t="s">
        <v>121</v>
      </c>
      <c r="G153">
        <v>2</v>
      </c>
      <c r="H153" s="7">
        <v>450</v>
      </c>
      <c r="I153" s="8">
        <v>0.1</v>
      </c>
      <c r="J153" s="7">
        <v>810</v>
      </c>
      <c r="K153" s="7">
        <v>94.68</v>
      </c>
      <c r="L153" t="s">
        <v>43</v>
      </c>
      <c r="M153" t="s">
        <v>44</v>
      </c>
    </row>
    <row r="154" spans="1:13">
      <c r="A154" t="s">
        <v>316</v>
      </c>
      <c r="B154" s="6">
        <v>45881</v>
      </c>
      <c r="C154" t="s">
        <v>300</v>
      </c>
      <c r="D154" t="s">
        <v>71</v>
      </c>
      <c r="E154" t="s">
        <v>66</v>
      </c>
      <c r="F154" t="s">
        <v>67</v>
      </c>
      <c r="G154">
        <v>1</v>
      </c>
      <c r="H154" s="7">
        <v>2200</v>
      </c>
      <c r="I154" s="8">
        <v>0.15</v>
      </c>
      <c r="J154" s="7">
        <v>1870</v>
      </c>
      <c r="K154" s="7">
        <v>67.36</v>
      </c>
      <c r="L154" t="s">
        <v>43</v>
      </c>
      <c r="M154" t="s">
        <v>75</v>
      </c>
    </row>
    <row r="155" spans="1:13">
      <c r="A155" t="s">
        <v>317</v>
      </c>
      <c r="B155" s="6">
        <v>45778</v>
      </c>
      <c r="C155" t="s">
        <v>154</v>
      </c>
      <c r="D155" t="s">
        <v>40</v>
      </c>
      <c r="E155" t="s">
        <v>41</v>
      </c>
      <c r="F155" t="s">
        <v>42</v>
      </c>
      <c r="G155">
        <v>1</v>
      </c>
      <c r="H155" s="7">
        <v>120</v>
      </c>
      <c r="I155" s="8">
        <v>0.1</v>
      </c>
      <c r="J155" s="7">
        <v>108</v>
      </c>
      <c r="K155" s="7">
        <v>20.94</v>
      </c>
      <c r="L155" t="s">
        <v>68</v>
      </c>
      <c r="M155" t="s">
        <v>44</v>
      </c>
    </row>
    <row r="156" spans="1:13">
      <c r="A156" t="s">
        <v>318</v>
      </c>
      <c r="B156" s="6">
        <v>45728</v>
      </c>
      <c r="C156" t="s">
        <v>319</v>
      </c>
      <c r="D156" t="s">
        <v>56</v>
      </c>
      <c r="E156" t="s">
        <v>66</v>
      </c>
      <c r="F156" t="s">
        <v>78</v>
      </c>
      <c r="G156">
        <v>6</v>
      </c>
      <c r="H156" s="7">
        <v>700</v>
      </c>
      <c r="I156" s="8">
        <v>0.15</v>
      </c>
      <c r="J156" s="7">
        <v>3570</v>
      </c>
      <c r="K156" s="7">
        <v>354.42</v>
      </c>
      <c r="L156" t="s">
        <v>49</v>
      </c>
      <c r="M156" t="s">
        <v>44</v>
      </c>
    </row>
    <row r="157" spans="1:13">
      <c r="A157" t="s">
        <v>320</v>
      </c>
      <c r="B157" s="6">
        <v>45667</v>
      </c>
      <c r="C157" t="s">
        <v>285</v>
      </c>
      <c r="D157" t="s">
        <v>71</v>
      </c>
      <c r="E157" t="s">
        <v>53</v>
      </c>
      <c r="F157" t="s">
        <v>54</v>
      </c>
      <c r="G157">
        <v>1</v>
      </c>
      <c r="H157" s="7">
        <v>7800</v>
      </c>
      <c r="I157" s="8">
        <v>0.1</v>
      </c>
      <c r="J157" s="7">
        <v>7020</v>
      </c>
      <c r="K157" s="7">
        <v>582.82000000000005</v>
      </c>
      <c r="L157" t="s">
        <v>49</v>
      </c>
      <c r="M157" t="s">
        <v>44</v>
      </c>
    </row>
    <row r="158" spans="1:13">
      <c r="A158" t="s">
        <v>321</v>
      </c>
      <c r="B158" s="6">
        <v>45780</v>
      </c>
      <c r="C158" t="s">
        <v>146</v>
      </c>
      <c r="D158" t="s">
        <v>52</v>
      </c>
      <c r="E158" t="s">
        <v>47</v>
      </c>
      <c r="F158" t="s">
        <v>48</v>
      </c>
      <c r="G158">
        <v>4</v>
      </c>
      <c r="H158" s="7">
        <v>52000</v>
      </c>
      <c r="I158" s="8">
        <v>0.2</v>
      </c>
      <c r="J158" s="7">
        <v>166400</v>
      </c>
      <c r="K158" s="7">
        <v>15935.9</v>
      </c>
      <c r="L158" t="s">
        <v>43</v>
      </c>
      <c r="M158" t="s">
        <v>44</v>
      </c>
    </row>
    <row r="159" spans="1:13">
      <c r="A159" t="s">
        <v>322</v>
      </c>
      <c r="B159" s="6">
        <v>45731</v>
      </c>
      <c r="C159" t="s">
        <v>323</v>
      </c>
      <c r="D159" t="s">
        <v>52</v>
      </c>
      <c r="E159" t="s">
        <v>47</v>
      </c>
      <c r="F159" t="s">
        <v>88</v>
      </c>
      <c r="G159">
        <v>2</v>
      </c>
      <c r="H159" s="7">
        <v>1800</v>
      </c>
      <c r="I159" s="8">
        <v>0.2</v>
      </c>
      <c r="J159" s="7">
        <v>2880</v>
      </c>
      <c r="K159" s="7">
        <v>220.75</v>
      </c>
      <c r="L159" t="s">
        <v>49</v>
      </c>
      <c r="M159" t="s">
        <v>75</v>
      </c>
    </row>
    <row r="160" spans="1:13">
      <c r="A160" t="s">
        <v>324</v>
      </c>
      <c r="B160" s="6">
        <v>45692</v>
      </c>
      <c r="C160" t="s">
        <v>233</v>
      </c>
      <c r="D160" t="s">
        <v>40</v>
      </c>
      <c r="E160" t="s">
        <v>66</v>
      </c>
      <c r="F160" t="s">
        <v>149</v>
      </c>
      <c r="G160">
        <v>1</v>
      </c>
      <c r="H160" s="7">
        <v>1800</v>
      </c>
      <c r="I160" s="8">
        <v>0.15</v>
      </c>
      <c r="J160" s="7">
        <v>1530</v>
      </c>
      <c r="K160" s="7">
        <v>282.23</v>
      </c>
      <c r="L160" t="s">
        <v>68</v>
      </c>
      <c r="M160" t="s">
        <v>44</v>
      </c>
    </row>
    <row r="161" spans="1:13">
      <c r="A161" t="s">
        <v>325</v>
      </c>
      <c r="B161" s="6">
        <v>45840</v>
      </c>
      <c r="C161" t="s">
        <v>174</v>
      </c>
      <c r="D161" t="s">
        <v>56</v>
      </c>
      <c r="E161" t="s">
        <v>53</v>
      </c>
      <c r="F161" t="s">
        <v>63</v>
      </c>
      <c r="G161">
        <v>5</v>
      </c>
      <c r="H161" s="7">
        <v>8500</v>
      </c>
      <c r="I161" s="8">
        <v>0.1</v>
      </c>
      <c r="J161" s="7">
        <v>38250</v>
      </c>
      <c r="K161" s="7">
        <v>2537.7199999999998</v>
      </c>
      <c r="L161" t="s">
        <v>68</v>
      </c>
      <c r="M161" t="s">
        <v>75</v>
      </c>
    </row>
    <row r="162" spans="1:13">
      <c r="A162" t="s">
        <v>326</v>
      </c>
      <c r="B162" s="6">
        <v>45987</v>
      </c>
      <c r="C162" t="s">
        <v>327</v>
      </c>
      <c r="D162" t="s">
        <v>52</v>
      </c>
      <c r="E162" t="s">
        <v>66</v>
      </c>
      <c r="F162" t="s">
        <v>78</v>
      </c>
      <c r="G162">
        <v>2</v>
      </c>
      <c r="H162" s="7">
        <v>700</v>
      </c>
      <c r="I162" s="8">
        <v>0</v>
      </c>
      <c r="J162" s="7">
        <v>1400</v>
      </c>
      <c r="K162" s="7">
        <v>272.39</v>
      </c>
      <c r="L162" t="s">
        <v>57</v>
      </c>
      <c r="M162" t="s">
        <v>44</v>
      </c>
    </row>
    <row r="163" spans="1:13">
      <c r="A163" t="s">
        <v>328</v>
      </c>
      <c r="B163" s="6">
        <v>45808</v>
      </c>
      <c r="C163" t="s">
        <v>329</v>
      </c>
      <c r="D163" t="s">
        <v>40</v>
      </c>
      <c r="E163" t="s">
        <v>53</v>
      </c>
      <c r="F163" t="s">
        <v>63</v>
      </c>
      <c r="G163">
        <v>3</v>
      </c>
      <c r="H163" s="7">
        <v>8500</v>
      </c>
      <c r="I163" s="8">
        <v>0.1</v>
      </c>
      <c r="J163" s="7">
        <v>22950</v>
      </c>
      <c r="K163" s="7">
        <v>2925.24</v>
      </c>
      <c r="L163" t="s">
        <v>43</v>
      </c>
      <c r="M163" t="s">
        <v>75</v>
      </c>
    </row>
    <row r="164" spans="1:13">
      <c r="A164" t="s">
        <v>330</v>
      </c>
      <c r="B164" s="6">
        <v>45787</v>
      </c>
      <c r="C164" t="s">
        <v>319</v>
      </c>
      <c r="D164" t="s">
        <v>71</v>
      </c>
      <c r="E164" t="s">
        <v>41</v>
      </c>
      <c r="F164" t="s">
        <v>85</v>
      </c>
      <c r="G164">
        <v>1</v>
      </c>
      <c r="H164" s="7">
        <v>1600</v>
      </c>
      <c r="I164" s="8">
        <v>0.1</v>
      </c>
      <c r="J164" s="7">
        <v>1440</v>
      </c>
      <c r="K164" s="7">
        <v>127.75</v>
      </c>
      <c r="L164" t="s">
        <v>68</v>
      </c>
      <c r="M164" t="s">
        <v>75</v>
      </c>
    </row>
    <row r="165" spans="1:13">
      <c r="A165" t="s">
        <v>331</v>
      </c>
      <c r="B165" s="6">
        <v>45862</v>
      </c>
      <c r="C165" t="s">
        <v>303</v>
      </c>
      <c r="D165" t="s">
        <v>52</v>
      </c>
      <c r="E165" t="s">
        <v>41</v>
      </c>
      <c r="F165" t="s">
        <v>42</v>
      </c>
      <c r="G165">
        <v>4</v>
      </c>
      <c r="H165" s="7">
        <v>120</v>
      </c>
      <c r="I165" s="8">
        <v>0.15</v>
      </c>
      <c r="J165" s="7">
        <v>408</v>
      </c>
      <c r="K165" s="7">
        <v>35.200000000000003</v>
      </c>
      <c r="L165" t="s">
        <v>43</v>
      </c>
      <c r="M165" t="s">
        <v>75</v>
      </c>
    </row>
    <row r="166" spans="1:13">
      <c r="A166" t="s">
        <v>332</v>
      </c>
      <c r="B166" s="6">
        <v>45700</v>
      </c>
      <c r="C166" t="s">
        <v>46</v>
      </c>
      <c r="D166" t="s">
        <v>40</v>
      </c>
      <c r="E166" t="s">
        <v>66</v>
      </c>
      <c r="F166" t="s">
        <v>78</v>
      </c>
      <c r="G166">
        <v>5</v>
      </c>
      <c r="H166" s="7">
        <v>700</v>
      </c>
      <c r="I166" s="8">
        <v>0.1</v>
      </c>
      <c r="J166" s="7">
        <v>3150</v>
      </c>
      <c r="K166" s="7">
        <v>303.64</v>
      </c>
      <c r="L166" t="s">
        <v>49</v>
      </c>
      <c r="M166" t="s">
        <v>75</v>
      </c>
    </row>
    <row r="167" spans="1:13">
      <c r="A167" t="s">
        <v>333</v>
      </c>
      <c r="B167" s="6">
        <v>45996</v>
      </c>
      <c r="C167" t="s">
        <v>62</v>
      </c>
      <c r="D167" t="s">
        <v>56</v>
      </c>
      <c r="E167" t="s">
        <v>66</v>
      </c>
      <c r="F167" t="s">
        <v>149</v>
      </c>
      <c r="G167">
        <v>2</v>
      </c>
      <c r="H167" s="7">
        <v>1800</v>
      </c>
      <c r="I167" s="8">
        <v>0.15</v>
      </c>
      <c r="J167" s="7">
        <v>3060</v>
      </c>
      <c r="K167" s="7">
        <v>256.27</v>
      </c>
      <c r="L167" t="s">
        <v>49</v>
      </c>
      <c r="M167" t="s">
        <v>75</v>
      </c>
    </row>
    <row r="168" spans="1:13">
      <c r="A168" t="s">
        <v>334</v>
      </c>
      <c r="B168" s="6">
        <v>45972</v>
      </c>
      <c r="C168" t="s">
        <v>335</v>
      </c>
      <c r="D168" t="s">
        <v>56</v>
      </c>
      <c r="E168" t="s">
        <v>47</v>
      </c>
      <c r="F168" t="s">
        <v>48</v>
      </c>
      <c r="G168">
        <v>6</v>
      </c>
      <c r="H168" s="7">
        <v>52000</v>
      </c>
      <c r="I168" s="8">
        <v>0.15</v>
      </c>
      <c r="J168" s="7">
        <v>265200</v>
      </c>
      <c r="K168" s="7">
        <v>22709.02</v>
      </c>
      <c r="L168" t="s">
        <v>74</v>
      </c>
      <c r="M168" t="s">
        <v>44</v>
      </c>
    </row>
    <row r="169" spans="1:13">
      <c r="A169" t="s">
        <v>336</v>
      </c>
      <c r="B169" s="6">
        <v>45731</v>
      </c>
      <c r="C169" t="s">
        <v>303</v>
      </c>
      <c r="D169" t="s">
        <v>40</v>
      </c>
      <c r="E169" t="s">
        <v>53</v>
      </c>
      <c r="F169" t="s">
        <v>63</v>
      </c>
      <c r="G169">
        <v>2</v>
      </c>
      <c r="H169" s="7">
        <v>8500</v>
      </c>
      <c r="I169" s="8">
        <v>0.1</v>
      </c>
      <c r="J169" s="7">
        <v>15300</v>
      </c>
      <c r="K169" s="7">
        <v>1575.04</v>
      </c>
      <c r="L169" t="s">
        <v>43</v>
      </c>
      <c r="M169" t="s">
        <v>44</v>
      </c>
    </row>
    <row r="170" spans="1:13">
      <c r="A170" t="s">
        <v>337</v>
      </c>
      <c r="B170" s="6">
        <v>45967</v>
      </c>
      <c r="C170" t="s">
        <v>258</v>
      </c>
      <c r="D170" t="s">
        <v>52</v>
      </c>
      <c r="E170" t="s">
        <v>41</v>
      </c>
      <c r="F170" t="s">
        <v>85</v>
      </c>
      <c r="G170">
        <v>4</v>
      </c>
      <c r="H170" s="7">
        <v>1600</v>
      </c>
      <c r="I170" s="8">
        <v>0</v>
      </c>
      <c r="J170" s="7">
        <v>6400</v>
      </c>
      <c r="K170" s="7">
        <v>1099.7</v>
      </c>
      <c r="L170" t="s">
        <v>43</v>
      </c>
      <c r="M170" t="s">
        <v>75</v>
      </c>
    </row>
    <row r="171" spans="1:13">
      <c r="A171" t="s">
        <v>338</v>
      </c>
      <c r="B171" s="6">
        <v>45861</v>
      </c>
      <c r="C171" t="s">
        <v>117</v>
      </c>
      <c r="D171" t="s">
        <v>56</v>
      </c>
      <c r="E171" t="s">
        <v>53</v>
      </c>
      <c r="F171" t="s">
        <v>63</v>
      </c>
      <c r="G171">
        <v>1</v>
      </c>
      <c r="H171" s="7">
        <v>8500</v>
      </c>
      <c r="I171" s="8">
        <v>0.05</v>
      </c>
      <c r="J171" s="7">
        <v>8075</v>
      </c>
      <c r="K171" s="7">
        <v>1149.45</v>
      </c>
      <c r="L171" t="s">
        <v>57</v>
      </c>
      <c r="M171" t="s">
        <v>44</v>
      </c>
    </row>
    <row r="172" spans="1:13">
      <c r="A172" t="s">
        <v>339</v>
      </c>
      <c r="B172" s="6">
        <v>45792</v>
      </c>
      <c r="C172" t="s">
        <v>170</v>
      </c>
      <c r="D172" t="s">
        <v>52</v>
      </c>
      <c r="E172" t="s">
        <v>53</v>
      </c>
      <c r="F172" t="s">
        <v>119</v>
      </c>
      <c r="G172">
        <v>6</v>
      </c>
      <c r="H172" s="7">
        <v>6500</v>
      </c>
      <c r="I172" s="8">
        <v>0.15</v>
      </c>
      <c r="J172" s="7">
        <v>33150</v>
      </c>
      <c r="K172" s="7">
        <v>1973.37</v>
      </c>
      <c r="L172" t="s">
        <v>74</v>
      </c>
      <c r="M172" t="s">
        <v>44</v>
      </c>
    </row>
    <row r="173" spans="1:13">
      <c r="A173" t="s">
        <v>340</v>
      </c>
      <c r="B173" s="6">
        <v>45889</v>
      </c>
      <c r="C173" t="s">
        <v>327</v>
      </c>
      <c r="D173" t="s">
        <v>52</v>
      </c>
      <c r="E173" t="s">
        <v>47</v>
      </c>
      <c r="F173" t="s">
        <v>88</v>
      </c>
      <c r="G173">
        <v>6</v>
      </c>
      <c r="H173" s="7">
        <v>1800</v>
      </c>
      <c r="I173" s="8">
        <v>0.1</v>
      </c>
      <c r="J173" s="7">
        <v>9720</v>
      </c>
      <c r="K173" s="7">
        <v>1540.88</v>
      </c>
      <c r="L173" t="s">
        <v>43</v>
      </c>
      <c r="M173" t="s">
        <v>75</v>
      </c>
    </row>
    <row r="174" spans="1:13">
      <c r="A174" t="s">
        <v>341</v>
      </c>
      <c r="B174" s="6">
        <v>45811</v>
      </c>
      <c r="C174" t="s">
        <v>82</v>
      </c>
      <c r="D174" t="s">
        <v>71</v>
      </c>
      <c r="E174" t="s">
        <v>41</v>
      </c>
      <c r="F174" t="s">
        <v>42</v>
      </c>
      <c r="G174">
        <v>1</v>
      </c>
      <c r="H174" s="7">
        <v>120</v>
      </c>
      <c r="I174" s="8">
        <v>0.05</v>
      </c>
      <c r="J174" s="7">
        <v>114</v>
      </c>
      <c r="K174" s="7">
        <v>21.57</v>
      </c>
      <c r="L174" t="s">
        <v>74</v>
      </c>
      <c r="M174" t="s">
        <v>75</v>
      </c>
    </row>
    <row r="175" spans="1:13">
      <c r="A175" t="s">
        <v>342</v>
      </c>
      <c r="B175" s="6">
        <v>45671</v>
      </c>
      <c r="C175" t="s">
        <v>343</v>
      </c>
      <c r="D175" t="s">
        <v>56</v>
      </c>
      <c r="E175" t="s">
        <v>66</v>
      </c>
      <c r="F175" t="s">
        <v>78</v>
      </c>
      <c r="G175">
        <v>5</v>
      </c>
      <c r="H175" s="7">
        <v>700</v>
      </c>
      <c r="I175" s="8">
        <v>0</v>
      </c>
      <c r="J175" s="7">
        <v>3500</v>
      </c>
      <c r="K175" s="7">
        <v>316.82</v>
      </c>
      <c r="L175" t="s">
        <v>57</v>
      </c>
      <c r="M175" t="s">
        <v>75</v>
      </c>
    </row>
    <row r="176" spans="1:13">
      <c r="A176" t="s">
        <v>344</v>
      </c>
      <c r="B176" s="6">
        <v>45927</v>
      </c>
      <c r="C176" t="s">
        <v>345</v>
      </c>
      <c r="D176" t="s">
        <v>52</v>
      </c>
      <c r="E176" t="s">
        <v>47</v>
      </c>
      <c r="F176" t="s">
        <v>98</v>
      </c>
      <c r="G176">
        <v>3</v>
      </c>
      <c r="H176" s="7">
        <v>14500</v>
      </c>
      <c r="I176" s="8">
        <v>0</v>
      </c>
      <c r="J176" s="7">
        <v>43500</v>
      </c>
      <c r="K176" s="7">
        <v>6611.82</v>
      </c>
      <c r="L176" t="s">
        <v>43</v>
      </c>
      <c r="M176" t="s">
        <v>75</v>
      </c>
    </row>
    <row r="177" spans="1:13">
      <c r="A177" t="s">
        <v>346</v>
      </c>
      <c r="B177" s="6">
        <v>45723</v>
      </c>
      <c r="C177" t="s">
        <v>240</v>
      </c>
      <c r="D177" t="s">
        <v>71</v>
      </c>
      <c r="E177" t="s">
        <v>66</v>
      </c>
      <c r="F177" t="s">
        <v>135</v>
      </c>
      <c r="G177">
        <v>1</v>
      </c>
      <c r="H177" s="7">
        <v>900</v>
      </c>
      <c r="I177" s="8">
        <v>0.2</v>
      </c>
      <c r="J177" s="7">
        <v>720</v>
      </c>
      <c r="K177" s="7">
        <v>24.83</v>
      </c>
      <c r="L177" t="s">
        <v>74</v>
      </c>
      <c r="M177" t="s">
        <v>44</v>
      </c>
    </row>
    <row r="178" spans="1:13">
      <c r="A178" t="s">
        <v>347</v>
      </c>
      <c r="B178" s="6">
        <v>45823</v>
      </c>
      <c r="C178" t="s">
        <v>348</v>
      </c>
      <c r="D178" t="s">
        <v>56</v>
      </c>
      <c r="E178" t="s">
        <v>41</v>
      </c>
      <c r="F178" t="s">
        <v>121</v>
      </c>
      <c r="G178">
        <v>3</v>
      </c>
      <c r="H178" s="7">
        <v>450</v>
      </c>
      <c r="I178" s="8">
        <v>0.05</v>
      </c>
      <c r="J178" s="7">
        <v>1282.5</v>
      </c>
      <c r="K178" s="7">
        <v>210.47</v>
      </c>
      <c r="L178" t="s">
        <v>43</v>
      </c>
      <c r="M178" t="s">
        <v>75</v>
      </c>
    </row>
    <row r="179" spans="1:13">
      <c r="A179" t="s">
        <v>349</v>
      </c>
      <c r="B179" s="6">
        <v>45722</v>
      </c>
      <c r="C179" t="s">
        <v>179</v>
      </c>
      <c r="D179" t="s">
        <v>40</v>
      </c>
      <c r="E179" t="s">
        <v>53</v>
      </c>
      <c r="F179" t="s">
        <v>162</v>
      </c>
      <c r="G179">
        <v>2</v>
      </c>
      <c r="H179" s="7">
        <v>12000</v>
      </c>
      <c r="I179" s="8">
        <v>0.2</v>
      </c>
      <c r="J179" s="7">
        <v>19200</v>
      </c>
      <c r="K179" s="7">
        <v>2405.7800000000002</v>
      </c>
      <c r="L179" t="s">
        <v>43</v>
      </c>
      <c r="M179" t="s">
        <v>75</v>
      </c>
    </row>
    <row r="180" spans="1:13">
      <c r="A180" t="s">
        <v>350</v>
      </c>
      <c r="B180" s="6">
        <v>45946</v>
      </c>
      <c r="C180" t="s">
        <v>213</v>
      </c>
      <c r="D180" t="s">
        <v>40</v>
      </c>
      <c r="E180" t="s">
        <v>47</v>
      </c>
      <c r="F180" t="s">
        <v>48</v>
      </c>
      <c r="G180">
        <v>6</v>
      </c>
      <c r="H180" s="7">
        <v>52000</v>
      </c>
      <c r="I180" s="8">
        <v>0.2</v>
      </c>
      <c r="J180" s="7">
        <v>249600</v>
      </c>
      <c r="K180" s="7">
        <v>13065.3</v>
      </c>
      <c r="L180" t="s">
        <v>74</v>
      </c>
      <c r="M180" t="s">
        <v>75</v>
      </c>
    </row>
    <row r="181" spans="1:13">
      <c r="A181" t="s">
        <v>351</v>
      </c>
      <c r="B181" s="6">
        <v>45974</v>
      </c>
      <c r="C181" t="s">
        <v>222</v>
      </c>
      <c r="D181" t="s">
        <v>52</v>
      </c>
      <c r="E181" t="s">
        <v>41</v>
      </c>
      <c r="F181" t="s">
        <v>85</v>
      </c>
      <c r="G181">
        <v>4</v>
      </c>
      <c r="H181" s="7">
        <v>1600</v>
      </c>
      <c r="I181" s="8">
        <v>0.05</v>
      </c>
      <c r="J181" s="7">
        <v>6080</v>
      </c>
      <c r="K181" s="7">
        <v>1162.8</v>
      </c>
      <c r="L181" t="s">
        <v>57</v>
      </c>
      <c r="M181" t="s">
        <v>75</v>
      </c>
    </row>
    <row r="182" spans="1:13">
      <c r="A182" t="s">
        <v>352</v>
      </c>
      <c r="B182" s="6">
        <v>45890</v>
      </c>
      <c r="C182" t="s">
        <v>209</v>
      </c>
      <c r="D182" t="s">
        <v>40</v>
      </c>
      <c r="E182" t="s">
        <v>53</v>
      </c>
      <c r="F182" t="s">
        <v>54</v>
      </c>
      <c r="G182">
        <v>4</v>
      </c>
      <c r="H182" s="7">
        <v>7800</v>
      </c>
      <c r="I182" s="8">
        <v>0.15</v>
      </c>
      <c r="J182" s="7">
        <v>26520</v>
      </c>
      <c r="K182" s="7">
        <v>2700.02</v>
      </c>
      <c r="L182" t="s">
        <v>68</v>
      </c>
      <c r="M182" t="s">
        <v>44</v>
      </c>
    </row>
    <row r="183" spans="1:13">
      <c r="A183" t="s">
        <v>353</v>
      </c>
      <c r="B183" s="6">
        <v>45818</v>
      </c>
      <c r="C183" t="s">
        <v>354</v>
      </c>
      <c r="D183" t="s">
        <v>56</v>
      </c>
      <c r="E183" t="s">
        <v>66</v>
      </c>
      <c r="F183" t="s">
        <v>78</v>
      </c>
      <c r="G183">
        <v>3</v>
      </c>
      <c r="H183" s="7">
        <v>700</v>
      </c>
      <c r="I183" s="8">
        <v>0.2</v>
      </c>
      <c r="J183" s="7">
        <v>1680</v>
      </c>
      <c r="K183" s="7">
        <v>167.77</v>
      </c>
      <c r="L183" t="s">
        <v>68</v>
      </c>
      <c r="M183" t="s">
        <v>44</v>
      </c>
    </row>
    <row r="184" spans="1:13">
      <c r="A184" t="s">
        <v>355</v>
      </c>
      <c r="B184" s="6">
        <v>45896</v>
      </c>
      <c r="C184" t="s">
        <v>144</v>
      </c>
      <c r="D184" t="s">
        <v>56</v>
      </c>
      <c r="E184" t="s">
        <v>66</v>
      </c>
      <c r="F184" t="s">
        <v>78</v>
      </c>
      <c r="G184">
        <v>2</v>
      </c>
      <c r="H184" s="7">
        <v>700</v>
      </c>
      <c r="I184" s="8">
        <v>0</v>
      </c>
      <c r="J184" s="7">
        <v>1400</v>
      </c>
      <c r="K184" s="7">
        <v>123.34</v>
      </c>
      <c r="L184" t="s">
        <v>57</v>
      </c>
      <c r="M184" t="s">
        <v>75</v>
      </c>
    </row>
    <row r="185" spans="1:13">
      <c r="A185" t="s">
        <v>356</v>
      </c>
      <c r="B185" s="6">
        <v>45785</v>
      </c>
      <c r="C185" t="s">
        <v>82</v>
      </c>
      <c r="D185" t="s">
        <v>56</v>
      </c>
      <c r="E185" t="s">
        <v>41</v>
      </c>
      <c r="F185" t="s">
        <v>42</v>
      </c>
      <c r="G185">
        <v>2</v>
      </c>
      <c r="H185" s="7">
        <v>120</v>
      </c>
      <c r="I185" s="8">
        <v>0.15</v>
      </c>
      <c r="J185" s="7">
        <v>204</v>
      </c>
      <c r="K185" s="7">
        <v>38.119999999999997</v>
      </c>
      <c r="L185" t="s">
        <v>57</v>
      </c>
      <c r="M185" t="s">
        <v>75</v>
      </c>
    </row>
    <row r="186" spans="1:13">
      <c r="A186" t="s">
        <v>357</v>
      </c>
      <c r="B186" s="6">
        <v>45815</v>
      </c>
      <c r="C186" t="s">
        <v>77</v>
      </c>
      <c r="D186" t="s">
        <v>40</v>
      </c>
      <c r="E186" t="s">
        <v>47</v>
      </c>
      <c r="F186" t="s">
        <v>60</v>
      </c>
      <c r="G186">
        <v>5</v>
      </c>
      <c r="H186" s="7">
        <v>2500</v>
      </c>
      <c r="I186" s="8">
        <v>0.15</v>
      </c>
      <c r="J186" s="7">
        <v>10625</v>
      </c>
      <c r="K186" s="7">
        <v>1935.55</v>
      </c>
      <c r="L186" t="s">
        <v>74</v>
      </c>
      <c r="M186" t="s">
        <v>75</v>
      </c>
    </row>
    <row r="187" spans="1:13">
      <c r="A187" t="s">
        <v>358</v>
      </c>
      <c r="B187" s="6">
        <v>45682</v>
      </c>
      <c r="C187" t="s">
        <v>359</v>
      </c>
      <c r="D187" t="s">
        <v>56</v>
      </c>
      <c r="E187" t="s">
        <v>66</v>
      </c>
      <c r="F187" t="s">
        <v>149</v>
      </c>
      <c r="G187">
        <v>3</v>
      </c>
      <c r="H187" s="7">
        <v>1800</v>
      </c>
      <c r="I187" s="8">
        <v>0.2</v>
      </c>
      <c r="J187" s="7">
        <v>4320</v>
      </c>
      <c r="K187" s="7">
        <v>129.6</v>
      </c>
      <c r="L187" t="s">
        <v>49</v>
      </c>
      <c r="M187" t="s">
        <v>75</v>
      </c>
    </row>
    <row r="188" spans="1:13">
      <c r="A188" t="s">
        <v>360</v>
      </c>
      <c r="B188" s="6">
        <v>45726</v>
      </c>
      <c r="C188" t="s">
        <v>125</v>
      </c>
      <c r="D188" t="s">
        <v>56</v>
      </c>
      <c r="E188" t="s">
        <v>66</v>
      </c>
      <c r="F188" t="s">
        <v>67</v>
      </c>
      <c r="G188">
        <v>1</v>
      </c>
      <c r="H188" s="7">
        <v>2200</v>
      </c>
      <c r="I188" s="8">
        <v>0.15</v>
      </c>
      <c r="J188" s="7">
        <v>1870</v>
      </c>
      <c r="K188" s="7">
        <v>66.73</v>
      </c>
      <c r="L188" t="s">
        <v>43</v>
      </c>
      <c r="M188" t="s">
        <v>44</v>
      </c>
    </row>
    <row r="189" spans="1:13">
      <c r="A189" t="s">
        <v>361</v>
      </c>
      <c r="B189" s="6">
        <v>45843</v>
      </c>
      <c r="C189" t="s">
        <v>237</v>
      </c>
      <c r="D189" t="s">
        <v>40</v>
      </c>
      <c r="E189" t="s">
        <v>66</v>
      </c>
      <c r="F189" t="s">
        <v>149</v>
      </c>
      <c r="G189">
        <v>5</v>
      </c>
      <c r="H189" s="7">
        <v>1800</v>
      </c>
      <c r="I189" s="8">
        <v>0.1</v>
      </c>
      <c r="J189" s="7">
        <v>8100</v>
      </c>
      <c r="K189" s="7">
        <v>1434.1</v>
      </c>
      <c r="L189" t="s">
        <v>43</v>
      </c>
      <c r="M189" t="s">
        <v>44</v>
      </c>
    </row>
    <row r="190" spans="1:13">
      <c r="A190" t="s">
        <v>362</v>
      </c>
      <c r="B190" s="6">
        <v>45723</v>
      </c>
      <c r="D190" t="s">
        <v>52</v>
      </c>
      <c r="E190" t="s">
        <v>41</v>
      </c>
      <c r="F190" t="s">
        <v>85</v>
      </c>
      <c r="G190">
        <v>5</v>
      </c>
      <c r="H190" s="7">
        <v>1600</v>
      </c>
      <c r="I190" s="8">
        <v>0.1</v>
      </c>
      <c r="J190" s="7">
        <v>7200</v>
      </c>
      <c r="K190" s="7">
        <v>1193.72</v>
      </c>
      <c r="L190" t="s">
        <v>74</v>
      </c>
      <c r="M190" t="s">
        <v>75</v>
      </c>
    </row>
    <row r="191" spans="1:13">
      <c r="A191" t="s">
        <v>363</v>
      </c>
      <c r="B191" s="6">
        <v>45914</v>
      </c>
      <c r="C191" t="s">
        <v>213</v>
      </c>
      <c r="D191" t="s">
        <v>40</v>
      </c>
      <c r="E191" t="s">
        <v>47</v>
      </c>
      <c r="F191" t="s">
        <v>98</v>
      </c>
      <c r="G191">
        <v>6</v>
      </c>
      <c r="H191" s="7">
        <v>14500</v>
      </c>
      <c r="I191" s="8">
        <v>0.1</v>
      </c>
      <c r="J191" s="7">
        <v>78300</v>
      </c>
      <c r="K191" s="7">
        <v>13595.58</v>
      </c>
      <c r="L191" t="s">
        <v>43</v>
      </c>
      <c r="M191" t="s">
        <v>75</v>
      </c>
    </row>
    <row r="192" spans="1:13">
      <c r="A192" t="s">
        <v>364</v>
      </c>
      <c r="B192" s="6">
        <v>45734</v>
      </c>
      <c r="C192" t="s">
        <v>151</v>
      </c>
      <c r="D192" t="s">
        <v>71</v>
      </c>
      <c r="E192" t="s">
        <v>41</v>
      </c>
      <c r="F192" t="s">
        <v>85</v>
      </c>
      <c r="G192">
        <v>2</v>
      </c>
      <c r="H192" s="7">
        <v>1600</v>
      </c>
      <c r="I192" s="8">
        <v>0.15</v>
      </c>
      <c r="J192" s="7">
        <v>2720</v>
      </c>
      <c r="K192" s="7">
        <v>505.92</v>
      </c>
      <c r="L192" t="s">
        <v>68</v>
      </c>
      <c r="M192" t="s">
        <v>75</v>
      </c>
    </row>
    <row r="193" spans="1:13">
      <c r="A193" t="s">
        <v>365</v>
      </c>
      <c r="B193" s="6">
        <v>45917</v>
      </c>
      <c r="C193" t="s">
        <v>139</v>
      </c>
      <c r="D193" t="s">
        <v>52</v>
      </c>
      <c r="E193" t="s">
        <v>41</v>
      </c>
      <c r="F193" t="s">
        <v>91</v>
      </c>
      <c r="G193">
        <v>1</v>
      </c>
      <c r="H193" s="7">
        <v>220</v>
      </c>
      <c r="I193" s="8">
        <v>0.1</v>
      </c>
      <c r="J193" s="7">
        <v>198</v>
      </c>
      <c r="K193" s="7">
        <v>19.399999999999999</v>
      </c>
      <c r="L193" t="s">
        <v>49</v>
      </c>
      <c r="M193" t="s">
        <v>75</v>
      </c>
    </row>
    <row r="194" spans="1:13">
      <c r="A194" t="s">
        <v>366</v>
      </c>
      <c r="B194" s="6">
        <v>45956</v>
      </c>
      <c r="C194" t="s">
        <v>283</v>
      </c>
      <c r="D194" t="s">
        <v>40</v>
      </c>
      <c r="E194" t="s">
        <v>66</v>
      </c>
      <c r="F194" t="s">
        <v>67</v>
      </c>
      <c r="G194">
        <v>6</v>
      </c>
      <c r="H194" s="7">
        <v>2200</v>
      </c>
      <c r="I194" s="8">
        <v>0.2</v>
      </c>
      <c r="J194" s="7">
        <v>10560</v>
      </c>
      <c r="K194" s="7">
        <v>1081.57</v>
      </c>
      <c r="L194" t="s">
        <v>49</v>
      </c>
      <c r="M194" t="s">
        <v>75</v>
      </c>
    </row>
    <row r="195" spans="1:13">
      <c r="A195" t="s">
        <v>367</v>
      </c>
      <c r="B195" s="6">
        <v>45745</v>
      </c>
      <c r="C195" t="s">
        <v>233</v>
      </c>
      <c r="D195" t="s">
        <v>52</v>
      </c>
      <c r="E195" t="s">
        <v>53</v>
      </c>
      <c r="F195" t="s">
        <v>162</v>
      </c>
      <c r="G195">
        <v>1</v>
      </c>
      <c r="H195" s="7">
        <v>12000</v>
      </c>
      <c r="I195" s="8">
        <v>0.2</v>
      </c>
      <c r="J195" s="7">
        <v>9600</v>
      </c>
      <c r="K195" s="7">
        <v>1552.44</v>
      </c>
      <c r="L195" t="s">
        <v>49</v>
      </c>
      <c r="M195" t="s">
        <v>44</v>
      </c>
    </row>
    <row r="196" spans="1:13">
      <c r="A196" t="s">
        <v>368</v>
      </c>
      <c r="B196" s="6">
        <v>45667</v>
      </c>
      <c r="C196" t="s">
        <v>303</v>
      </c>
      <c r="D196" t="s">
        <v>56</v>
      </c>
      <c r="E196" t="s">
        <v>66</v>
      </c>
      <c r="F196" t="s">
        <v>78</v>
      </c>
      <c r="G196">
        <v>4</v>
      </c>
      <c r="H196" s="7">
        <v>700</v>
      </c>
      <c r="I196" s="8">
        <v>0.05</v>
      </c>
      <c r="J196" s="7">
        <v>2660</v>
      </c>
      <c r="K196" s="7">
        <v>340.91</v>
      </c>
      <c r="L196" t="s">
        <v>43</v>
      </c>
      <c r="M196" t="s">
        <v>75</v>
      </c>
    </row>
    <row r="197" spans="1:13">
      <c r="A197" t="s">
        <v>369</v>
      </c>
      <c r="B197" s="6">
        <v>45689</v>
      </c>
      <c r="C197" t="s">
        <v>370</v>
      </c>
      <c r="D197" t="s">
        <v>71</v>
      </c>
      <c r="E197" t="s">
        <v>41</v>
      </c>
      <c r="F197" t="s">
        <v>91</v>
      </c>
      <c r="G197">
        <v>5</v>
      </c>
      <c r="H197" s="7">
        <v>220</v>
      </c>
      <c r="I197" s="8">
        <v>0.15</v>
      </c>
      <c r="J197" s="7">
        <v>935</v>
      </c>
      <c r="K197" s="7">
        <v>72.650000000000006</v>
      </c>
      <c r="L197" t="s">
        <v>74</v>
      </c>
      <c r="M197" t="s">
        <v>75</v>
      </c>
    </row>
    <row r="198" spans="1:13">
      <c r="A198" t="s">
        <v>371</v>
      </c>
      <c r="B198" s="6">
        <v>45930</v>
      </c>
      <c r="C198" t="s">
        <v>372</v>
      </c>
      <c r="D198" t="s">
        <v>56</v>
      </c>
      <c r="E198" t="s">
        <v>41</v>
      </c>
      <c r="F198" t="s">
        <v>91</v>
      </c>
      <c r="G198">
        <v>2</v>
      </c>
      <c r="H198" s="7">
        <v>220</v>
      </c>
      <c r="I198" s="8">
        <v>0.05</v>
      </c>
      <c r="J198" s="7">
        <v>418</v>
      </c>
      <c r="K198" s="7">
        <v>44.78</v>
      </c>
      <c r="L198" t="s">
        <v>68</v>
      </c>
      <c r="M198" t="s">
        <v>44</v>
      </c>
    </row>
    <row r="199" spans="1:13">
      <c r="A199" t="s">
        <v>373</v>
      </c>
      <c r="B199" s="6">
        <v>45810</v>
      </c>
      <c r="C199" t="s">
        <v>237</v>
      </c>
      <c r="D199" t="s">
        <v>71</v>
      </c>
      <c r="E199" t="s">
        <v>66</v>
      </c>
      <c r="F199" t="s">
        <v>67</v>
      </c>
      <c r="G199">
        <v>4</v>
      </c>
      <c r="H199" s="7">
        <v>2200</v>
      </c>
      <c r="I199" s="8">
        <v>0.1</v>
      </c>
      <c r="J199" s="7">
        <v>7920</v>
      </c>
      <c r="K199" s="7">
        <v>1066.6500000000001</v>
      </c>
      <c r="L199" t="s">
        <v>68</v>
      </c>
      <c r="M199" t="s">
        <v>75</v>
      </c>
    </row>
    <row r="200" spans="1:13">
      <c r="A200" t="s">
        <v>374</v>
      </c>
      <c r="B200" s="6">
        <v>45720</v>
      </c>
      <c r="C200" t="s">
        <v>51</v>
      </c>
      <c r="D200" t="s">
        <v>52</v>
      </c>
      <c r="E200" t="s">
        <v>66</v>
      </c>
      <c r="F200" t="s">
        <v>67</v>
      </c>
      <c r="G200">
        <v>2</v>
      </c>
      <c r="H200" s="7">
        <v>2200</v>
      </c>
      <c r="I200" s="8">
        <v>0.1</v>
      </c>
      <c r="J200" s="7">
        <v>3960</v>
      </c>
      <c r="K200" s="7">
        <v>204.85</v>
      </c>
      <c r="L200" t="s">
        <v>49</v>
      </c>
      <c r="M200" t="s">
        <v>75</v>
      </c>
    </row>
    <row r="201" spans="1:13">
      <c r="A201" t="s">
        <v>375</v>
      </c>
      <c r="B201" s="6">
        <v>45884</v>
      </c>
      <c r="C201" t="s">
        <v>285</v>
      </c>
      <c r="D201" t="s">
        <v>52</v>
      </c>
      <c r="E201" t="s">
        <v>53</v>
      </c>
      <c r="F201" t="s">
        <v>162</v>
      </c>
      <c r="G201">
        <v>5</v>
      </c>
      <c r="H201" s="7">
        <v>12000</v>
      </c>
      <c r="I201" s="8">
        <v>0.1</v>
      </c>
      <c r="J201" s="7">
        <v>54000</v>
      </c>
      <c r="K201" s="7">
        <v>10491.33</v>
      </c>
      <c r="L201" t="s">
        <v>68</v>
      </c>
      <c r="M201" t="s">
        <v>44</v>
      </c>
    </row>
    <row r="202" spans="1:13">
      <c r="A202" t="s">
        <v>376</v>
      </c>
      <c r="B202" s="6">
        <v>45713</v>
      </c>
      <c r="C202" t="s">
        <v>93</v>
      </c>
      <c r="D202" t="s">
        <v>71</v>
      </c>
      <c r="E202" t="s">
        <v>47</v>
      </c>
      <c r="F202" t="s">
        <v>98</v>
      </c>
      <c r="G202">
        <v>6</v>
      </c>
      <c r="H202" s="7">
        <v>14500</v>
      </c>
      <c r="I202" s="8">
        <v>0.05</v>
      </c>
      <c r="J202" s="7">
        <v>82650</v>
      </c>
      <c r="K202" s="7">
        <v>5859.77</v>
      </c>
      <c r="L202" t="s">
        <v>57</v>
      </c>
      <c r="M202" t="s">
        <v>75</v>
      </c>
    </row>
    <row r="203" spans="1:13">
      <c r="A203" t="s">
        <v>377</v>
      </c>
      <c r="B203" s="6">
        <v>45899</v>
      </c>
      <c r="C203" t="s">
        <v>106</v>
      </c>
      <c r="D203" t="s">
        <v>71</v>
      </c>
      <c r="E203" t="s">
        <v>47</v>
      </c>
      <c r="F203" t="s">
        <v>98</v>
      </c>
      <c r="G203">
        <v>4</v>
      </c>
      <c r="H203" s="7">
        <v>14500</v>
      </c>
      <c r="I203" s="8">
        <v>0.15</v>
      </c>
      <c r="J203" s="7">
        <v>49300</v>
      </c>
      <c r="K203" s="7">
        <v>5121.8599999999997</v>
      </c>
      <c r="L203" t="s">
        <v>74</v>
      </c>
      <c r="M203" t="s">
        <v>75</v>
      </c>
    </row>
    <row r="204" spans="1:13">
      <c r="A204" t="s">
        <v>378</v>
      </c>
      <c r="B204" s="6">
        <v>45822</v>
      </c>
      <c r="C204" t="s">
        <v>237</v>
      </c>
      <c r="D204" t="s">
        <v>40</v>
      </c>
      <c r="E204" t="s">
        <v>47</v>
      </c>
      <c r="F204" t="s">
        <v>98</v>
      </c>
      <c r="G204">
        <v>5</v>
      </c>
      <c r="H204" s="7">
        <v>14500</v>
      </c>
      <c r="I204" s="8">
        <v>0</v>
      </c>
      <c r="J204" s="7">
        <v>72500</v>
      </c>
      <c r="K204" s="7">
        <v>16393.46</v>
      </c>
      <c r="L204" t="s">
        <v>74</v>
      </c>
      <c r="M204" t="s">
        <v>75</v>
      </c>
    </row>
    <row r="205" spans="1:13">
      <c r="A205" t="s">
        <v>379</v>
      </c>
      <c r="B205" s="6">
        <v>45748</v>
      </c>
      <c r="C205" t="s">
        <v>319</v>
      </c>
      <c r="D205" t="s">
        <v>52</v>
      </c>
      <c r="E205" t="s">
        <v>66</v>
      </c>
      <c r="F205" t="s">
        <v>78</v>
      </c>
      <c r="G205">
        <v>6</v>
      </c>
      <c r="H205" s="7">
        <v>700</v>
      </c>
      <c r="I205" s="8">
        <v>0.1</v>
      </c>
      <c r="J205" s="7">
        <v>3780</v>
      </c>
      <c r="K205" s="7">
        <v>700.35</v>
      </c>
      <c r="L205" t="s">
        <v>49</v>
      </c>
      <c r="M205" t="s">
        <v>75</v>
      </c>
    </row>
    <row r="206" spans="1:13">
      <c r="A206" t="s">
        <v>380</v>
      </c>
      <c r="B206" s="6">
        <v>45948</v>
      </c>
      <c r="C206" t="s">
        <v>177</v>
      </c>
      <c r="D206" t="s">
        <v>56</v>
      </c>
      <c r="E206" t="s">
        <v>41</v>
      </c>
      <c r="F206" t="s">
        <v>91</v>
      </c>
      <c r="G206">
        <v>6</v>
      </c>
      <c r="H206" s="7">
        <v>220</v>
      </c>
      <c r="I206" s="8">
        <v>0.2</v>
      </c>
      <c r="J206" s="7">
        <v>1056</v>
      </c>
      <c r="K206" s="7">
        <v>99.15</v>
      </c>
      <c r="L206" t="s">
        <v>74</v>
      </c>
      <c r="M206" t="s">
        <v>75</v>
      </c>
    </row>
    <row r="207" spans="1:13">
      <c r="A207" t="s">
        <v>381</v>
      </c>
      <c r="B207" s="6">
        <v>45797</v>
      </c>
      <c r="C207" t="s">
        <v>193</v>
      </c>
      <c r="D207" t="s">
        <v>40</v>
      </c>
      <c r="E207" t="s">
        <v>41</v>
      </c>
      <c r="F207" t="s">
        <v>42</v>
      </c>
      <c r="G207">
        <v>6</v>
      </c>
      <c r="H207" s="7">
        <v>120</v>
      </c>
      <c r="I207" s="8">
        <v>0.15</v>
      </c>
      <c r="J207" s="7">
        <v>612</v>
      </c>
      <c r="K207" s="7">
        <v>80.31</v>
      </c>
      <c r="L207" t="s">
        <v>74</v>
      </c>
      <c r="M207" t="s">
        <v>44</v>
      </c>
    </row>
    <row r="208" spans="1:13">
      <c r="A208" t="s">
        <v>382</v>
      </c>
      <c r="B208" s="6">
        <v>45830</v>
      </c>
      <c r="C208" t="s">
        <v>62</v>
      </c>
      <c r="D208" t="s">
        <v>71</v>
      </c>
      <c r="E208" t="s">
        <v>53</v>
      </c>
      <c r="F208" t="s">
        <v>54</v>
      </c>
      <c r="G208">
        <v>4</v>
      </c>
      <c r="H208" s="7">
        <v>7800</v>
      </c>
      <c r="I208" s="8">
        <v>0.2</v>
      </c>
      <c r="J208" s="7">
        <v>24960</v>
      </c>
      <c r="K208" s="7">
        <v>1559.21</v>
      </c>
      <c r="L208" t="s">
        <v>57</v>
      </c>
      <c r="M208" t="s">
        <v>44</v>
      </c>
    </row>
    <row r="209" spans="1:13">
      <c r="A209" t="s">
        <v>383</v>
      </c>
      <c r="B209" s="6">
        <v>45752</v>
      </c>
      <c r="C209" t="s">
        <v>370</v>
      </c>
      <c r="D209" t="s">
        <v>52</v>
      </c>
      <c r="E209" t="s">
        <v>41</v>
      </c>
      <c r="F209" t="s">
        <v>42</v>
      </c>
      <c r="G209">
        <v>1</v>
      </c>
      <c r="H209" s="7">
        <v>120</v>
      </c>
      <c r="I209" s="8">
        <v>0.1</v>
      </c>
      <c r="J209" s="7">
        <v>108</v>
      </c>
      <c r="K209" s="7">
        <v>11.49</v>
      </c>
      <c r="L209" t="s">
        <v>57</v>
      </c>
      <c r="M209" t="s">
        <v>75</v>
      </c>
    </row>
    <row r="210" spans="1:13">
      <c r="A210" t="s">
        <v>384</v>
      </c>
      <c r="B210" s="6">
        <v>45826</v>
      </c>
      <c r="C210" t="s">
        <v>179</v>
      </c>
      <c r="D210" t="s">
        <v>40</v>
      </c>
      <c r="E210" t="s">
        <v>41</v>
      </c>
      <c r="F210" t="s">
        <v>85</v>
      </c>
      <c r="G210">
        <v>6</v>
      </c>
      <c r="H210" s="7">
        <v>1600</v>
      </c>
      <c r="I210" s="8">
        <v>0.05</v>
      </c>
      <c r="J210" s="7">
        <v>9120</v>
      </c>
      <c r="K210" s="7">
        <v>660.65</v>
      </c>
      <c r="L210" t="s">
        <v>49</v>
      </c>
      <c r="M210" t="s">
        <v>75</v>
      </c>
    </row>
    <row r="211" spans="1:13">
      <c r="A211" t="s">
        <v>385</v>
      </c>
      <c r="B211" s="6">
        <v>45815</v>
      </c>
      <c r="C211" t="s">
        <v>82</v>
      </c>
      <c r="D211" t="s">
        <v>52</v>
      </c>
      <c r="E211" t="s">
        <v>41</v>
      </c>
      <c r="F211" t="s">
        <v>121</v>
      </c>
      <c r="G211">
        <v>6</v>
      </c>
      <c r="H211" s="7">
        <v>450</v>
      </c>
      <c r="I211" s="8">
        <v>0.1</v>
      </c>
      <c r="J211" s="7">
        <v>2430</v>
      </c>
      <c r="K211" s="7">
        <v>252.25</v>
      </c>
      <c r="L211" t="s">
        <v>74</v>
      </c>
      <c r="M211" t="s">
        <v>44</v>
      </c>
    </row>
    <row r="212" spans="1:13">
      <c r="A212" t="s">
        <v>386</v>
      </c>
      <c r="B212" s="6">
        <v>45726</v>
      </c>
      <c r="C212" t="s">
        <v>113</v>
      </c>
      <c r="D212" t="s">
        <v>71</v>
      </c>
      <c r="E212" t="s">
        <v>66</v>
      </c>
      <c r="F212" t="s">
        <v>67</v>
      </c>
      <c r="G212">
        <v>4</v>
      </c>
      <c r="H212" s="7">
        <v>2200</v>
      </c>
      <c r="I212" s="8">
        <v>0.2</v>
      </c>
      <c r="J212" s="7">
        <v>7040</v>
      </c>
      <c r="K212" s="7">
        <v>1098.57</v>
      </c>
      <c r="L212" t="s">
        <v>43</v>
      </c>
      <c r="M212" t="s">
        <v>44</v>
      </c>
    </row>
    <row r="213" spans="1:13">
      <c r="A213" t="s">
        <v>387</v>
      </c>
      <c r="B213" s="6">
        <v>45784</v>
      </c>
      <c r="C213" t="s">
        <v>161</v>
      </c>
      <c r="D213" t="s">
        <v>52</v>
      </c>
      <c r="E213" t="s">
        <v>41</v>
      </c>
      <c r="F213" t="s">
        <v>121</v>
      </c>
      <c r="G213">
        <v>5</v>
      </c>
      <c r="H213" s="7">
        <v>450</v>
      </c>
      <c r="I213" s="8">
        <v>0</v>
      </c>
      <c r="J213" s="7">
        <v>2250</v>
      </c>
      <c r="K213" s="7">
        <v>202.23</v>
      </c>
      <c r="L213" t="s">
        <v>43</v>
      </c>
      <c r="M213" t="s">
        <v>44</v>
      </c>
    </row>
    <row r="214" spans="1:13">
      <c r="A214" t="s">
        <v>388</v>
      </c>
      <c r="B214" s="6">
        <v>45951</v>
      </c>
      <c r="C214" t="s">
        <v>389</v>
      </c>
      <c r="D214" t="s">
        <v>71</v>
      </c>
      <c r="E214" t="s">
        <v>53</v>
      </c>
      <c r="F214" t="s">
        <v>119</v>
      </c>
      <c r="G214">
        <v>5</v>
      </c>
      <c r="H214" s="7">
        <v>6500</v>
      </c>
      <c r="I214" s="8">
        <v>0.15</v>
      </c>
      <c r="J214" s="7">
        <v>27625</v>
      </c>
      <c r="K214" s="7">
        <v>1273.47</v>
      </c>
      <c r="L214" t="s">
        <v>74</v>
      </c>
      <c r="M214" t="s">
        <v>75</v>
      </c>
    </row>
    <row r="215" spans="1:13">
      <c r="A215" t="s">
        <v>390</v>
      </c>
      <c r="B215" s="6">
        <v>45704</v>
      </c>
      <c r="C215" t="s">
        <v>139</v>
      </c>
      <c r="D215" t="s">
        <v>52</v>
      </c>
      <c r="E215" t="s">
        <v>47</v>
      </c>
      <c r="F215" t="s">
        <v>60</v>
      </c>
      <c r="G215">
        <v>2</v>
      </c>
      <c r="H215" s="7">
        <v>2500</v>
      </c>
      <c r="I215" s="8">
        <v>0.2</v>
      </c>
      <c r="J215" s="7">
        <v>4000</v>
      </c>
      <c r="K215" s="7">
        <v>305.87</v>
      </c>
      <c r="L215" t="s">
        <v>43</v>
      </c>
      <c r="M215" t="s">
        <v>44</v>
      </c>
    </row>
    <row r="216" spans="1:13">
      <c r="A216" t="s">
        <v>391</v>
      </c>
      <c r="B216" s="6">
        <v>45944</v>
      </c>
      <c r="C216" t="s">
        <v>224</v>
      </c>
      <c r="D216" t="s">
        <v>56</v>
      </c>
      <c r="E216" t="s">
        <v>47</v>
      </c>
      <c r="F216" t="s">
        <v>60</v>
      </c>
      <c r="G216">
        <v>3</v>
      </c>
      <c r="H216" s="7">
        <v>2500</v>
      </c>
      <c r="I216" s="8">
        <v>0</v>
      </c>
      <c r="J216" s="7">
        <v>7500</v>
      </c>
      <c r="K216" s="7">
        <v>1494.97</v>
      </c>
      <c r="L216" t="s">
        <v>43</v>
      </c>
      <c r="M216" t="s">
        <v>44</v>
      </c>
    </row>
    <row r="217" spans="1:13">
      <c r="A217" t="s">
        <v>392</v>
      </c>
      <c r="B217" s="6">
        <v>45681</v>
      </c>
      <c r="C217" t="s">
        <v>46</v>
      </c>
      <c r="D217" t="s">
        <v>56</v>
      </c>
      <c r="E217" t="s">
        <v>47</v>
      </c>
      <c r="F217" t="s">
        <v>48</v>
      </c>
      <c r="G217">
        <v>1</v>
      </c>
      <c r="H217" s="7">
        <v>52000</v>
      </c>
      <c r="I217" s="8">
        <v>0.15</v>
      </c>
      <c r="J217" s="7">
        <v>44200</v>
      </c>
      <c r="K217" s="7">
        <v>1439.93</v>
      </c>
      <c r="L217" t="s">
        <v>57</v>
      </c>
      <c r="M217" t="s">
        <v>44</v>
      </c>
    </row>
    <row r="218" spans="1:13">
      <c r="A218" t="s">
        <v>393</v>
      </c>
      <c r="B218" s="6">
        <v>45727</v>
      </c>
      <c r="C218" t="s">
        <v>146</v>
      </c>
      <c r="D218" t="s">
        <v>56</v>
      </c>
      <c r="E218" t="s">
        <v>66</v>
      </c>
      <c r="F218" t="s">
        <v>149</v>
      </c>
      <c r="G218">
        <v>4</v>
      </c>
      <c r="H218" s="7">
        <v>1800</v>
      </c>
      <c r="I218" s="8">
        <v>0.15</v>
      </c>
      <c r="J218" s="7">
        <v>6120</v>
      </c>
      <c r="K218" s="7">
        <v>246.88</v>
      </c>
      <c r="L218" t="s">
        <v>43</v>
      </c>
      <c r="M218" t="s">
        <v>44</v>
      </c>
    </row>
    <row r="219" spans="1:13">
      <c r="A219" t="s">
        <v>394</v>
      </c>
      <c r="B219" s="6">
        <v>45992</v>
      </c>
      <c r="C219" t="s">
        <v>294</v>
      </c>
      <c r="D219" t="s">
        <v>40</v>
      </c>
      <c r="E219" t="s">
        <v>53</v>
      </c>
      <c r="F219" t="s">
        <v>54</v>
      </c>
      <c r="G219">
        <v>5</v>
      </c>
      <c r="H219" s="7">
        <v>7800</v>
      </c>
      <c r="I219" s="8">
        <v>0.05</v>
      </c>
      <c r="J219" s="7">
        <v>37050</v>
      </c>
      <c r="K219" s="7">
        <v>6630.37</v>
      </c>
      <c r="L219" t="s">
        <v>74</v>
      </c>
      <c r="M219" t="s">
        <v>44</v>
      </c>
    </row>
    <row r="220" spans="1:13">
      <c r="A220" t="s">
        <v>395</v>
      </c>
      <c r="B220" s="6">
        <v>45669</v>
      </c>
      <c r="C220" t="s">
        <v>396</v>
      </c>
      <c r="D220" t="s">
        <v>52</v>
      </c>
      <c r="E220" t="s">
        <v>66</v>
      </c>
      <c r="F220" t="s">
        <v>149</v>
      </c>
      <c r="G220">
        <v>2</v>
      </c>
      <c r="H220" s="7">
        <v>1800</v>
      </c>
      <c r="I220" s="8">
        <v>0.05</v>
      </c>
      <c r="J220" s="7">
        <v>3420</v>
      </c>
      <c r="K220" s="7">
        <v>465.8</v>
      </c>
      <c r="L220" t="s">
        <v>74</v>
      </c>
      <c r="M220" t="s">
        <v>75</v>
      </c>
    </row>
    <row r="221" spans="1:13">
      <c r="A221" t="s">
        <v>397</v>
      </c>
      <c r="B221" s="6">
        <v>45754</v>
      </c>
      <c r="C221" t="s">
        <v>39</v>
      </c>
      <c r="D221" t="s">
        <v>40</v>
      </c>
      <c r="E221" t="s">
        <v>66</v>
      </c>
      <c r="F221" t="s">
        <v>135</v>
      </c>
      <c r="G221">
        <v>2</v>
      </c>
      <c r="H221" s="7">
        <v>900</v>
      </c>
      <c r="I221" s="8">
        <v>0.05</v>
      </c>
      <c r="J221" s="7">
        <v>1710</v>
      </c>
      <c r="K221" s="7">
        <v>125.29</v>
      </c>
      <c r="L221" t="s">
        <v>43</v>
      </c>
      <c r="M221" t="s">
        <v>44</v>
      </c>
    </row>
    <row r="222" spans="1:13">
      <c r="A222" t="s">
        <v>398</v>
      </c>
      <c r="B222" s="6">
        <v>45886</v>
      </c>
      <c r="C222" t="s">
        <v>359</v>
      </c>
      <c r="E222" t="s">
        <v>47</v>
      </c>
      <c r="F222" t="s">
        <v>60</v>
      </c>
      <c r="G222">
        <v>4</v>
      </c>
      <c r="H222" s="7">
        <v>2500</v>
      </c>
      <c r="I222" s="8">
        <v>0.05</v>
      </c>
      <c r="J222" s="7">
        <v>9500</v>
      </c>
      <c r="K222" s="7">
        <v>1414.18</v>
      </c>
      <c r="L222" t="s">
        <v>49</v>
      </c>
      <c r="M222" t="s">
        <v>44</v>
      </c>
    </row>
    <row r="223" spans="1:13">
      <c r="A223" t="s">
        <v>399</v>
      </c>
      <c r="B223" s="6">
        <v>45915</v>
      </c>
      <c r="C223" t="s">
        <v>323</v>
      </c>
      <c r="D223" t="s">
        <v>71</v>
      </c>
      <c r="E223" t="s">
        <v>41</v>
      </c>
      <c r="F223" t="s">
        <v>85</v>
      </c>
      <c r="G223">
        <v>2</v>
      </c>
      <c r="H223" s="7">
        <v>1600</v>
      </c>
      <c r="I223" s="8">
        <v>0.1</v>
      </c>
      <c r="J223" s="7">
        <v>2880</v>
      </c>
      <c r="K223" s="7">
        <v>533.38</v>
      </c>
      <c r="L223" t="s">
        <v>43</v>
      </c>
      <c r="M223" t="s">
        <v>44</v>
      </c>
    </row>
    <row r="224" spans="1:13">
      <c r="A224" t="s">
        <v>400</v>
      </c>
      <c r="B224" s="6">
        <v>45869</v>
      </c>
      <c r="C224" t="s">
        <v>396</v>
      </c>
      <c r="D224" t="s">
        <v>56</v>
      </c>
      <c r="E224" t="s">
        <v>47</v>
      </c>
      <c r="F224" t="s">
        <v>98</v>
      </c>
      <c r="G224">
        <v>6</v>
      </c>
      <c r="H224" s="7">
        <v>14500</v>
      </c>
      <c r="I224" s="8">
        <v>0.15</v>
      </c>
      <c r="J224" s="7">
        <v>73950</v>
      </c>
      <c r="K224" s="7">
        <v>8610.4500000000007</v>
      </c>
      <c r="L224" t="s">
        <v>49</v>
      </c>
      <c r="M224" t="s">
        <v>75</v>
      </c>
    </row>
    <row r="225" spans="1:13">
      <c r="A225" t="s">
        <v>401</v>
      </c>
      <c r="B225" s="6">
        <v>45987</v>
      </c>
      <c r="C225" t="s">
        <v>65</v>
      </c>
      <c r="D225" t="s">
        <v>56</v>
      </c>
      <c r="E225" t="s">
        <v>66</v>
      </c>
      <c r="F225" t="s">
        <v>149</v>
      </c>
      <c r="G225">
        <v>2</v>
      </c>
      <c r="H225" s="7">
        <v>1800</v>
      </c>
      <c r="I225" s="8">
        <v>0.1</v>
      </c>
      <c r="J225" s="7">
        <v>3240</v>
      </c>
      <c r="K225" s="7">
        <v>340.96</v>
      </c>
      <c r="L225" t="s">
        <v>43</v>
      </c>
      <c r="M225" t="s">
        <v>75</v>
      </c>
    </row>
    <row r="226" spans="1:13">
      <c r="A226" t="s">
        <v>402</v>
      </c>
      <c r="B226" s="6">
        <v>45781</v>
      </c>
      <c r="C226" t="s">
        <v>348</v>
      </c>
      <c r="D226" t="s">
        <v>56</v>
      </c>
      <c r="E226" t="s">
        <v>53</v>
      </c>
      <c r="F226" t="s">
        <v>54</v>
      </c>
      <c r="G226">
        <v>1</v>
      </c>
      <c r="H226" s="7">
        <v>7800</v>
      </c>
      <c r="I226" s="8">
        <v>0.2</v>
      </c>
      <c r="J226" s="7">
        <v>6240</v>
      </c>
      <c r="K226" s="7">
        <v>474.42</v>
      </c>
      <c r="L226" t="s">
        <v>57</v>
      </c>
      <c r="M226" t="s">
        <v>44</v>
      </c>
    </row>
    <row r="227" spans="1:13">
      <c r="A227" t="s">
        <v>403</v>
      </c>
      <c r="B227" s="6">
        <v>45856</v>
      </c>
      <c r="C227" t="s">
        <v>404</v>
      </c>
      <c r="D227" t="s">
        <v>56</v>
      </c>
      <c r="E227" t="s">
        <v>53</v>
      </c>
      <c r="F227" t="s">
        <v>119</v>
      </c>
      <c r="G227">
        <v>6</v>
      </c>
      <c r="H227" s="7">
        <v>6500</v>
      </c>
      <c r="I227" s="8">
        <v>0</v>
      </c>
      <c r="J227" s="7">
        <v>39000</v>
      </c>
      <c r="K227" s="7">
        <v>8874.69</v>
      </c>
      <c r="L227" t="s">
        <v>68</v>
      </c>
      <c r="M227" t="s">
        <v>44</v>
      </c>
    </row>
    <row r="228" spans="1:13">
      <c r="A228" t="s">
        <v>405</v>
      </c>
      <c r="B228" s="6">
        <v>45932</v>
      </c>
      <c r="C228" t="s">
        <v>111</v>
      </c>
      <c r="D228" t="s">
        <v>40</v>
      </c>
      <c r="E228" t="s">
        <v>41</v>
      </c>
      <c r="F228" t="s">
        <v>91</v>
      </c>
      <c r="G228">
        <v>6</v>
      </c>
      <c r="H228" s="7">
        <v>220</v>
      </c>
      <c r="I228" s="8">
        <v>0.2</v>
      </c>
      <c r="J228" s="7">
        <v>1056</v>
      </c>
      <c r="K228" s="7">
        <v>112.43</v>
      </c>
      <c r="L228" t="s">
        <v>49</v>
      </c>
      <c r="M228" t="s">
        <v>44</v>
      </c>
    </row>
    <row r="229" spans="1:13">
      <c r="A229" t="s">
        <v>406</v>
      </c>
      <c r="B229" s="6">
        <v>45958</v>
      </c>
      <c r="C229" t="s">
        <v>407</v>
      </c>
      <c r="D229" t="s">
        <v>52</v>
      </c>
      <c r="E229" t="s">
        <v>53</v>
      </c>
      <c r="F229" t="s">
        <v>119</v>
      </c>
      <c r="G229">
        <v>3</v>
      </c>
      <c r="H229" s="7">
        <v>6500</v>
      </c>
      <c r="I229" s="8">
        <v>0</v>
      </c>
      <c r="J229" s="7">
        <v>19500</v>
      </c>
      <c r="K229" s="7">
        <v>2220.84</v>
      </c>
      <c r="L229" t="s">
        <v>74</v>
      </c>
      <c r="M229" t="s">
        <v>44</v>
      </c>
    </row>
    <row r="230" spans="1:13">
      <c r="A230" t="s">
        <v>408</v>
      </c>
      <c r="B230" s="6">
        <v>45903</v>
      </c>
      <c r="C230" t="s">
        <v>404</v>
      </c>
      <c r="D230" t="s">
        <v>71</v>
      </c>
      <c r="E230" t="s">
        <v>66</v>
      </c>
      <c r="F230" t="s">
        <v>78</v>
      </c>
      <c r="G230">
        <v>5</v>
      </c>
      <c r="H230" s="7">
        <v>700</v>
      </c>
      <c r="I230" s="8">
        <v>0.1</v>
      </c>
      <c r="J230" s="7">
        <v>3150</v>
      </c>
      <c r="K230" s="7">
        <v>532.61</v>
      </c>
      <c r="L230" t="s">
        <v>57</v>
      </c>
      <c r="M230" t="s">
        <v>75</v>
      </c>
    </row>
    <row r="231" spans="1:13">
      <c r="A231" t="s">
        <v>409</v>
      </c>
      <c r="B231" s="6">
        <v>45931</v>
      </c>
      <c r="C231" t="s">
        <v>410</v>
      </c>
      <c r="D231" t="s">
        <v>56</v>
      </c>
      <c r="E231" t="s">
        <v>41</v>
      </c>
      <c r="F231" t="s">
        <v>85</v>
      </c>
      <c r="G231">
        <v>5</v>
      </c>
      <c r="H231" s="7">
        <v>1600</v>
      </c>
      <c r="I231" s="8">
        <v>0.15</v>
      </c>
      <c r="J231" s="7">
        <v>6800</v>
      </c>
      <c r="K231" s="7">
        <v>694.01</v>
      </c>
      <c r="L231" t="s">
        <v>57</v>
      </c>
      <c r="M231" t="s">
        <v>75</v>
      </c>
    </row>
    <row r="232" spans="1:13">
      <c r="A232" t="s">
        <v>411</v>
      </c>
      <c r="B232" s="6">
        <v>45762</v>
      </c>
      <c r="C232" t="s">
        <v>260</v>
      </c>
      <c r="D232" t="s">
        <v>56</v>
      </c>
      <c r="E232" t="s">
        <v>66</v>
      </c>
      <c r="F232" t="s">
        <v>135</v>
      </c>
      <c r="G232">
        <v>5</v>
      </c>
      <c r="H232" s="7">
        <v>900</v>
      </c>
      <c r="I232" s="8">
        <v>0.05</v>
      </c>
      <c r="J232" s="7">
        <v>4275</v>
      </c>
      <c r="K232" s="7">
        <v>774.2</v>
      </c>
      <c r="L232" t="s">
        <v>49</v>
      </c>
      <c r="M232" t="s">
        <v>75</v>
      </c>
    </row>
    <row r="233" spans="1:13">
      <c r="A233" t="s">
        <v>412</v>
      </c>
      <c r="B233" s="6">
        <v>45941</v>
      </c>
      <c r="C233" t="s">
        <v>249</v>
      </c>
      <c r="D233" t="s">
        <v>56</v>
      </c>
      <c r="E233" t="s">
        <v>53</v>
      </c>
      <c r="F233" t="s">
        <v>162</v>
      </c>
      <c r="G233">
        <v>3</v>
      </c>
      <c r="H233" s="7">
        <v>12000</v>
      </c>
      <c r="I233" s="8">
        <v>0.05</v>
      </c>
      <c r="J233" s="7">
        <v>34200</v>
      </c>
      <c r="K233" s="7">
        <v>4215.9799999999996</v>
      </c>
      <c r="L233" t="s">
        <v>74</v>
      </c>
      <c r="M233" t="s">
        <v>75</v>
      </c>
    </row>
    <row r="234" spans="1:13">
      <c r="A234" t="s">
        <v>413</v>
      </c>
      <c r="B234" s="6">
        <v>45939</v>
      </c>
      <c r="C234" t="s">
        <v>414</v>
      </c>
      <c r="D234" t="s">
        <v>56</v>
      </c>
      <c r="E234" t="s">
        <v>66</v>
      </c>
      <c r="F234" t="s">
        <v>149</v>
      </c>
      <c r="G234">
        <v>4</v>
      </c>
      <c r="H234" s="7">
        <v>1800</v>
      </c>
      <c r="I234" s="8">
        <v>0.05</v>
      </c>
      <c r="J234" s="7">
        <v>6840</v>
      </c>
      <c r="K234" s="7">
        <v>1229.45</v>
      </c>
      <c r="L234" t="s">
        <v>68</v>
      </c>
      <c r="M234" t="s">
        <v>44</v>
      </c>
    </row>
    <row r="235" spans="1:13">
      <c r="A235" t="s">
        <v>415</v>
      </c>
      <c r="B235" s="6">
        <v>45729</v>
      </c>
      <c r="C235" t="s">
        <v>51</v>
      </c>
      <c r="D235" t="s">
        <v>52</v>
      </c>
      <c r="E235" t="s">
        <v>53</v>
      </c>
      <c r="F235" t="s">
        <v>63</v>
      </c>
      <c r="G235">
        <v>5</v>
      </c>
      <c r="H235" s="7">
        <v>8500</v>
      </c>
      <c r="I235" s="8">
        <v>0</v>
      </c>
      <c r="J235" s="7">
        <v>42500</v>
      </c>
      <c r="K235" s="7">
        <v>9105.67</v>
      </c>
      <c r="L235" t="s">
        <v>49</v>
      </c>
      <c r="M235" t="s">
        <v>44</v>
      </c>
    </row>
    <row r="236" spans="1:13">
      <c r="A236" t="s">
        <v>416</v>
      </c>
      <c r="B236" s="6">
        <v>45661</v>
      </c>
      <c r="C236" t="s">
        <v>345</v>
      </c>
      <c r="D236" t="s">
        <v>71</v>
      </c>
      <c r="E236" t="s">
        <v>53</v>
      </c>
      <c r="F236" t="s">
        <v>63</v>
      </c>
      <c r="G236">
        <v>6</v>
      </c>
      <c r="H236" s="7">
        <v>8500</v>
      </c>
      <c r="I236" s="8">
        <v>0.05</v>
      </c>
      <c r="J236" s="7">
        <v>48450</v>
      </c>
      <c r="K236" s="7">
        <v>3098.99</v>
      </c>
      <c r="L236" t="s">
        <v>43</v>
      </c>
      <c r="M236" t="s">
        <v>75</v>
      </c>
    </row>
    <row r="237" spans="1:13">
      <c r="A237" t="s">
        <v>417</v>
      </c>
      <c r="B237" s="6">
        <v>45849</v>
      </c>
      <c r="C237" t="s">
        <v>203</v>
      </c>
      <c r="D237" t="s">
        <v>52</v>
      </c>
      <c r="E237" t="s">
        <v>66</v>
      </c>
      <c r="F237" t="s">
        <v>135</v>
      </c>
      <c r="G237">
        <v>1</v>
      </c>
      <c r="H237" s="7">
        <v>900</v>
      </c>
      <c r="I237" s="8">
        <v>0.2</v>
      </c>
      <c r="J237" s="7">
        <v>720</v>
      </c>
      <c r="K237" s="7">
        <v>70.75</v>
      </c>
      <c r="L237" t="s">
        <v>49</v>
      </c>
      <c r="M237" t="s">
        <v>44</v>
      </c>
    </row>
    <row r="238" spans="1:13">
      <c r="A238" t="s">
        <v>418</v>
      </c>
      <c r="B238" s="6">
        <v>45929</v>
      </c>
      <c r="C238" t="s">
        <v>227</v>
      </c>
      <c r="D238" t="s">
        <v>56</v>
      </c>
      <c r="E238" t="s">
        <v>47</v>
      </c>
      <c r="F238" t="s">
        <v>60</v>
      </c>
      <c r="G238">
        <v>2</v>
      </c>
      <c r="H238" s="7">
        <v>2500</v>
      </c>
      <c r="I238" s="8">
        <v>0</v>
      </c>
      <c r="J238" s="7">
        <v>5000</v>
      </c>
      <c r="K238" s="7">
        <v>1134.44</v>
      </c>
      <c r="L238" t="s">
        <v>43</v>
      </c>
      <c r="M238" t="s">
        <v>44</v>
      </c>
    </row>
    <row r="239" spans="1:13">
      <c r="A239" t="s">
        <v>419</v>
      </c>
      <c r="B239" s="6">
        <v>45781</v>
      </c>
      <c r="C239" t="s">
        <v>193</v>
      </c>
      <c r="D239" t="s">
        <v>56</v>
      </c>
      <c r="E239" t="s">
        <v>41</v>
      </c>
      <c r="F239" t="s">
        <v>85</v>
      </c>
      <c r="G239">
        <v>4</v>
      </c>
      <c r="H239" s="7">
        <v>1600</v>
      </c>
      <c r="I239" s="8">
        <v>0</v>
      </c>
      <c r="J239" s="7">
        <v>6400</v>
      </c>
      <c r="K239" s="7">
        <v>894</v>
      </c>
      <c r="L239" t="s">
        <v>57</v>
      </c>
      <c r="M239" t="s">
        <v>75</v>
      </c>
    </row>
    <row r="240" spans="1:13">
      <c r="A240" t="s">
        <v>420</v>
      </c>
      <c r="B240" s="6">
        <v>45947</v>
      </c>
      <c r="C240" t="s">
        <v>404</v>
      </c>
      <c r="D240" t="s">
        <v>71</v>
      </c>
      <c r="E240" t="s">
        <v>41</v>
      </c>
      <c r="F240" t="s">
        <v>121</v>
      </c>
      <c r="G240">
        <v>6</v>
      </c>
      <c r="H240" s="7">
        <v>450</v>
      </c>
      <c r="I240" s="8">
        <v>0</v>
      </c>
      <c r="J240" s="7">
        <v>2700</v>
      </c>
      <c r="K240" s="7">
        <v>256.39</v>
      </c>
      <c r="L240" t="s">
        <v>57</v>
      </c>
      <c r="M240" t="s">
        <v>75</v>
      </c>
    </row>
    <row r="241" spans="1:13">
      <c r="A241" t="s">
        <v>421</v>
      </c>
      <c r="B241" s="6">
        <v>45940</v>
      </c>
      <c r="C241" t="s">
        <v>104</v>
      </c>
      <c r="D241" t="s">
        <v>40</v>
      </c>
      <c r="E241" t="s">
        <v>47</v>
      </c>
      <c r="F241" t="s">
        <v>98</v>
      </c>
      <c r="G241">
        <v>1</v>
      </c>
      <c r="H241" s="7">
        <v>14500</v>
      </c>
      <c r="I241" s="8">
        <v>0.15</v>
      </c>
      <c r="J241" s="7">
        <v>12325</v>
      </c>
      <c r="K241" s="7">
        <v>2005.93</v>
      </c>
      <c r="L241" t="s">
        <v>68</v>
      </c>
      <c r="M241" t="s">
        <v>44</v>
      </c>
    </row>
    <row r="242" spans="1:13">
      <c r="A242" t="s">
        <v>422</v>
      </c>
      <c r="B242" s="6">
        <v>45928</v>
      </c>
      <c r="C242" t="s">
        <v>213</v>
      </c>
      <c r="D242" t="s">
        <v>71</v>
      </c>
      <c r="E242" t="s">
        <v>53</v>
      </c>
      <c r="F242" t="s">
        <v>54</v>
      </c>
      <c r="G242">
        <v>3</v>
      </c>
      <c r="H242" s="7">
        <v>7800</v>
      </c>
      <c r="I242" s="8">
        <v>0</v>
      </c>
      <c r="J242" s="7">
        <v>23400</v>
      </c>
      <c r="K242" s="7">
        <v>5332.05</v>
      </c>
      <c r="L242" t="s">
        <v>68</v>
      </c>
      <c r="M242" t="s">
        <v>44</v>
      </c>
    </row>
    <row r="243" spans="1:13">
      <c r="A243" t="s">
        <v>423</v>
      </c>
      <c r="B243" s="6">
        <v>45749</v>
      </c>
      <c r="C243" t="s">
        <v>117</v>
      </c>
      <c r="D243" t="s">
        <v>40</v>
      </c>
      <c r="E243" t="s">
        <v>53</v>
      </c>
      <c r="F243" t="s">
        <v>162</v>
      </c>
      <c r="G243">
        <v>6</v>
      </c>
      <c r="H243" s="7">
        <v>12000</v>
      </c>
      <c r="I243" s="8">
        <v>0.15</v>
      </c>
      <c r="J243" s="7">
        <v>61200</v>
      </c>
      <c r="K243" s="7">
        <v>10778.54</v>
      </c>
      <c r="L243" t="s">
        <v>68</v>
      </c>
      <c r="M243" t="s">
        <v>44</v>
      </c>
    </row>
    <row r="244" spans="1:13">
      <c r="A244" t="s">
        <v>424</v>
      </c>
      <c r="B244" s="6">
        <v>45946</v>
      </c>
      <c r="C244" t="s">
        <v>93</v>
      </c>
      <c r="D244" t="s">
        <v>52</v>
      </c>
      <c r="E244" t="s">
        <v>41</v>
      </c>
      <c r="F244" t="s">
        <v>91</v>
      </c>
      <c r="G244">
        <v>6</v>
      </c>
      <c r="H244" s="7">
        <v>220</v>
      </c>
      <c r="I244" s="8">
        <v>0.05</v>
      </c>
      <c r="J244" s="7">
        <v>1254</v>
      </c>
      <c r="K244" s="7">
        <v>236.98</v>
      </c>
      <c r="L244" t="s">
        <v>49</v>
      </c>
      <c r="M244" t="s">
        <v>75</v>
      </c>
    </row>
    <row r="245" spans="1:13">
      <c r="A245" t="s">
        <v>425</v>
      </c>
      <c r="B245" s="6">
        <v>45685</v>
      </c>
      <c r="C245" t="s">
        <v>106</v>
      </c>
      <c r="D245" t="s">
        <v>52</v>
      </c>
      <c r="E245" t="s">
        <v>53</v>
      </c>
      <c r="F245" t="s">
        <v>63</v>
      </c>
      <c r="G245">
        <v>3</v>
      </c>
      <c r="H245" s="7">
        <v>8500</v>
      </c>
      <c r="I245" s="8">
        <v>0.2</v>
      </c>
      <c r="J245" s="7">
        <v>20400</v>
      </c>
      <c r="K245" s="7">
        <v>2714.03</v>
      </c>
      <c r="L245" t="s">
        <v>43</v>
      </c>
      <c r="M245" t="s">
        <v>75</v>
      </c>
    </row>
    <row r="246" spans="1:13">
      <c r="A246" t="s">
        <v>426</v>
      </c>
      <c r="B246" s="6">
        <v>45825</v>
      </c>
      <c r="C246" t="s">
        <v>222</v>
      </c>
      <c r="D246" t="s">
        <v>56</v>
      </c>
      <c r="E246" t="s">
        <v>66</v>
      </c>
      <c r="F246" t="s">
        <v>149</v>
      </c>
      <c r="G246">
        <v>2</v>
      </c>
      <c r="H246" s="7">
        <v>1800</v>
      </c>
      <c r="I246" s="8">
        <v>0.1</v>
      </c>
      <c r="J246" s="7">
        <v>3240</v>
      </c>
      <c r="K246" s="7">
        <v>432.49</v>
      </c>
      <c r="L246" t="s">
        <v>57</v>
      </c>
      <c r="M246" t="s">
        <v>75</v>
      </c>
    </row>
    <row r="247" spans="1:13">
      <c r="A247" t="s">
        <v>427</v>
      </c>
      <c r="B247" s="6">
        <v>45753</v>
      </c>
      <c r="C247" t="s">
        <v>65</v>
      </c>
      <c r="D247" t="s">
        <v>40</v>
      </c>
      <c r="E247" t="s">
        <v>41</v>
      </c>
      <c r="F247" t="s">
        <v>42</v>
      </c>
      <c r="G247">
        <v>6</v>
      </c>
      <c r="H247" s="7">
        <v>120</v>
      </c>
      <c r="I247" s="8">
        <v>0</v>
      </c>
      <c r="J247" s="7">
        <v>720</v>
      </c>
      <c r="K247" s="7">
        <v>67.05</v>
      </c>
      <c r="L247" t="s">
        <v>74</v>
      </c>
      <c r="M247" t="s">
        <v>75</v>
      </c>
    </row>
    <row r="248" spans="1:13">
      <c r="A248" t="s">
        <v>428</v>
      </c>
      <c r="B248" s="6">
        <v>46022</v>
      </c>
      <c r="C248" t="s">
        <v>258</v>
      </c>
      <c r="D248" t="s">
        <v>52</v>
      </c>
      <c r="E248" t="s">
        <v>41</v>
      </c>
      <c r="F248" t="s">
        <v>85</v>
      </c>
      <c r="G248">
        <v>1</v>
      </c>
      <c r="H248" s="7">
        <v>1600</v>
      </c>
      <c r="I248" s="8">
        <v>0</v>
      </c>
      <c r="J248" s="7">
        <v>1600</v>
      </c>
      <c r="K248" s="7">
        <v>129.33000000000001</v>
      </c>
      <c r="L248" t="s">
        <v>68</v>
      </c>
      <c r="M248" t="s">
        <v>75</v>
      </c>
    </row>
    <row r="249" spans="1:13">
      <c r="A249" t="s">
        <v>429</v>
      </c>
      <c r="B249" s="6">
        <v>45842</v>
      </c>
      <c r="C249" t="s">
        <v>182</v>
      </c>
      <c r="D249" t="s">
        <v>40</v>
      </c>
      <c r="E249" t="s">
        <v>53</v>
      </c>
      <c r="F249" t="s">
        <v>63</v>
      </c>
      <c r="G249">
        <v>2</v>
      </c>
      <c r="H249" s="7">
        <v>8500</v>
      </c>
      <c r="I249" s="8">
        <v>0.15</v>
      </c>
      <c r="J249" s="7">
        <v>14450</v>
      </c>
      <c r="K249" s="7">
        <v>1435.1</v>
      </c>
      <c r="L249" t="s">
        <v>43</v>
      </c>
      <c r="M249" t="s">
        <v>75</v>
      </c>
    </row>
    <row r="250" spans="1:13">
      <c r="A250" t="s">
        <v>430</v>
      </c>
      <c r="B250" s="6">
        <v>45710</v>
      </c>
      <c r="C250" t="s">
        <v>267</v>
      </c>
      <c r="D250" t="s">
        <v>40</v>
      </c>
      <c r="E250" t="s">
        <v>41</v>
      </c>
      <c r="F250" t="s">
        <v>121</v>
      </c>
      <c r="G250">
        <v>5</v>
      </c>
      <c r="H250" s="7">
        <v>450</v>
      </c>
      <c r="I250" s="8">
        <v>0.2</v>
      </c>
      <c r="J250" s="7">
        <v>1800</v>
      </c>
      <c r="K250" s="7">
        <v>243.92</v>
      </c>
      <c r="L250" t="s">
        <v>57</v>
      </c>
      <c r="M250" t="s">
        <v>44</v>
      </c>
    </row>
    <row r="251" spans="1:13">
      <c r="A251" t="s">
        <v>431</v>
      </c>
      <c r="B251" s="6">
        <v>45807</v>
      </c>
      <c r="C251" t="s">
        <v>345</v>
      </c>
      <c r="D251" t="s">
        <v>52</v>
      </c>
      <c r="E251" t="s">
        <v>47</v>
      </c>
      <c r="F251" t="s">
        <v>98</v>
      </c>
      <c r="G251">
        <v>5</v>
      </c>
      <c r="H251" s="7">
        <v>14500</v>
      </c>
      <c r="I251" s="8">
        <v>0.2</v>
      </c>
      <c r="J251" s="7">
        <v>58000</v>
      </c>
      <c r="K251" s="7">
        <v>2153.73</v>
      </c>
      <c r="L251" t="s">
        <v>57</v>
      </c>
      <c r="M251" t="s">
        <v>44</v>
      </c>
    </row>
    <row r="252" spans="1:13">
      <c r="A252" t="s">
        <v>432</v>
      </c>
      <c r="B252" s="6">
        <v>45729</v>
      </c>
      <c r="C252" t="s">
        <v>433</v>
      </c>
      <c r="D252" t="s">
        <v>56</v>
      </c>
      <c r="E252" t="s">
        <v>41</v>
      </c>
      <c r="F252" t="s">
        <v>91</v>
      </c>
      <c r="G252">
        <v>2</v>
      </c>
      <c r="H252" s="7">
        <v>220</v>
      </c>
      <c r="I252" s="8">
        <v>0</v>
      </c>
      <c r="J252" s="7">
        <v>440</v>
      </c>
      <c r="K252" s="7">
        <v>46.97</v>
      </c>
      <c r="L252" t="s">
        <v>68</v>
      </c>
      <c r="M252" t="s">
        <v>75</v>
      </c>
    </row>
    <row r="253" spans="1:13">
      <c r="A253" t="s">
        <v>434</v>
      </c>
      <c r="B253" s="6">
        <v>45811</v>
      </c>
      <c r="C253" t="s">
        <v>251</v>
      </c>
      <c r="D253" t="s">
        <v>40</v>
      </c>
      <c r="E253" t="s">
        <v>41</v>
      </c>
      <c r="F253" t="s">
        <v>85</v>
      </c>
      <c r="G253">
        <v>2</v>
      </c>
      <c r="H253" s="7">
        <v>1600</v>
      </c>
      <c r="I253" s="8">
        <v>0.15</v>
      </c>
      <c r="J253" s="7">
        <v>2720</v>
      </c>
      <c r="K253" s="7">
        <v>333.22</v>
      </c>
      <c r="L253" t="s">
        <v>74</v>
      </c>
      <c r="M253" t="s">
        <v>75</v>
      </c>
    </row>
    <row r="254" spans="1:13">
      <c r="A254" t="s">
        <v>435</v>
      </c>
      <c r="B254" s="6">
        <v>45712</v>
      </c>
      <c r="C254" t="s">
        <v>436</v>
      </c>
      <c r="D254" t="s">
        <v>56</v>
      </c>
      <c r="E254" t="s">
        <v>47</v>
      </c>
      <c r="F254" t="s">
        <v>60</v>
      </c>
      <c r="G254">
        <v>3</v>
      </c>
      <c r="H254" s="7">
        <v>2500</v>
      </c>
      <c r="I254" s="8">
        <v>0.2</v>
      </c>
      <c r="J254" s="7">
        <v>6000</v>
      </c>
      <c r="K254" s="7">
        <v>424.69</v>
      </c>
      <c r="L254" t="s">
        <v>68</v>
      </c>
      <c r="M254" t="s">
        <v>75</v>
      </c>
    </row>
    <row r="255" spans="1:13">
      <c r="A255" t="s">
        <v>437</v>
      </c>
      <c r="B255" s="6">
        <v>45829</v>
      </c>
      <c r="C255" t="s">
        <v>148</v>
      </c>
      <c r="D255" t="s">
        <v>71</v>
      </c>
      <c r="E255" t="s">
        <v>41</v>
      </c>
      <c r="F255" t="s">
        <v>85</v>
      </c>
      <c r="G255">
        <v>5</v>
      </c>
      <c r="H255" s="7">
        <v>1600</v>
      </c>
      <c r="I255" s="8">
        <v>0.05</v>
      </c>
      <c r="J255" s="7">
        <v>7600</v>
      </c>
      <c r="K255" s="7">
        <v>1057.48</v>
      </c>
      <c r="L255" t="s">
        <v>74</v>
      </c>
      <c r="M255" t="s">
        <v>75</v>
      </c>
    </row>
    <row r="256" spans="1:13">
      <c r="A256" t="s">
        <v>438</v>
      </c>
      <c r="B256" s="6">
        <v>45821</v>
      </c>
      <c r="C256" t="s">
        <v>323</v>
      </c>
      <c r="D256" t="s">
        <v>52</v>
      </c>
      <c r="E256" t="s">
        <v>53</v>
      </c>
      <c r="F256" t="s">
        <v>119</v>
      </c>
      <c r="G256">
        <v>4</v>
      </c>
      <c r="H256" s="7">
        <v>6500</v>
      </c>
      <c r="I256" s="8">
        <v>0.1</v>
      </c>
      <c r="J256" s="7">
        <v>23400</v>
      </c>
      <c r="K256" s="7">
        <v>4109.96</v>
      </c>
      <c r="L256" t="s">
        <v>57</v>
      </c>
      <c r="M256" t="s">
        <v>75</v>
      </c>
    </row>
    <row r="257" spans="1:13">
      <c r="A257" t="s">
        <v>439</v>
      </c>
      <c r="B257" s="6">
        <v>45716</v>
      </c>
      <c r="C257" t="s">
        <v>329</v>
      </c>
      <c r="D257" t="s">
        <v>71</v>
      </c>
      <c r="E257" t="s">
        <v>47</v>
      </c>
      <c r="F257" t="s">
        <v>60</v>
      </c>
      <c r="G257">
        <v>6</v>
      </c>
      <c r="H257" s="7">
        <v>2500</v>
      </c>
      <c r="I257" s="8">
        <v>0.05</v>
      </c>
      <c r="J257" s="7">
        <v>14250</v>
      </c>
      <c r="K257" s="7">
        <v>1890.3</v>
      </c>
      <c r="L257" t="s">
        <v>68</v>
      </c>
      <c r="M257" t="s">
        <v>44</v>
      </c>
    </row>
    <row r="258" spans="1:13">
      <c r="A258" t="s">
        <v>440</v>
      </c>
      <c r="B258" s="6">
        <v>45867</v>
      </c>
      <c r="C258" t="s">
        <v>77</v>
      </c>
      <c r="D258" t="s">
        <v>71</v>
      </c>
      <c r="E258" t="s">
        <v>41</v>
      </c>
      <c r="F258" t="s">
        <v>42</v>
      </c>
      <c r="G258">
        <v>3</v>
      </c>
      <c r="H258" s="7">
        <v>120</v>
      </c>
      <c r="I258" s="8">
        <v>0.05</v>
      </c>
      <c r="J258" s="7">
        <v>342</v>
      </c>
      <c r="K258" s="7">
        <v>60.51</v>
      </c>
      <c r="L258" t="s">
        <v>57</v>
      </c>
      <c r="M258" t="s">
        <v>44</v>
      </c>
    </row>
    <row r="259" spans="1:13">
      <c r="A259" t="s">
        <v>441</v>
      </c>
      <c r="B259" s="6">
        <v>45887</v>
      </c>
      <c r="C259" t="s">
        <v>113</v>
      </c>
      <c r="D259" t="s">
        <v>52</v>
      </c>
      <c r="E259" t="s">
        <v>66</v>
      </c>
      <c r="F259" t="s">
        <v>135</v>
      </c>
      <c r="G259">
        <v>3</v>
      </c>
      <c r="H259" s="7">
        <v>900</v>
      </c>
      <c r="I259" s="8">
        <v>0.2</v>
      </c>
      <c r="J259" s="7">
        <v>2160</v>
      </c>
      <c r="K259" s="7">
        <v>226.82</v>
      </c>
      <c r="L259" t="s">
        <v>49</v>
      </c>
      <c r="M259" t="s">
        <v>44</v>
      </c>
    </row>
    <row r="260" spans="1:13">
      <c r="A260" t="s">
        <v>442</v>
      </c>
      <c r="B260" s="6">
        <v>45785</v>
      </c>
      <c r="C260" t="s">
        <v>443</v>
      </c>
      <c r="D260" t="s">
        <v>71</v>
      </c>
      <c r="E260" t="s">
        <v>47</v>
      </c>
      <c r="F260" t="s">
        <v>60</v>
      </c>
      <c r="G260">
        <v>3</v>
      </c>
      <c r="H260" s="7">
        <v>2500</v>
      </c>
      <c r="I260" s="8">
        <v>0.15</v>
      </c>
      <c r="J260" s="7">
        <v>6375</v>
      </c>
      <c r="K260" s="7">
        <v>283.38</v>
      </c>
      <c r="L260" t="s">
        <v>49</v>
      </c>
      <c r="M260" t="s">
        <v>75</v>
      </c>
    </row>
    <row r="261" spans="1:13">
      <c r="A261" t="s">
        <v>444</v>
      </c>
      <c r="B261" s="6">
        <v>45771</v>
      </c>
      <c r="C261" t="s">
        <v>139</v>
      </c>
      <c r="D261" t="s">
        <v>71</v>
      </c>
      <c r="E261" t="s">
        <v>66</v>
      </c>
      <c r="F261" t="s">
        <v>67</v>
      </c>
      <c r="G261">
        <v>4</v>
      </c>
      <c r="H261" s="7">
        <v>2200</v>
      </c>
      <c r="I261" s="8">
        <v>0.15</v>
      </c>
      <c r="J261" s="7">
        <v>7480</v>
      </c>
      <c r="K261" s="7">
        <v>1130.04</v>
      </c>
      <c r="L261" t="s">
        <v>43</v>
      </c>
      <c r="M261" t="s">
        <v>44</v>
      </c>
    </row>
    <row r="262" spans="1:13">
      <c r="A262" t="s">
        <v>445</v>
      </c>
      <c r="B262" s="6">
        <v>45834</v>
      </c>
      <c r="C262" t="s">
        <v>267</v>
      </c>
      <c r="D262" t="s">
        <v>52</v>
      </c>
      <c r="E262" t="s">
        <v>47</v>
      </c>
      <c r="F262" t="s">
        <v>88</v>
      </c>
      <c r="G262">
        <v>4</v>
      </c>
      <c r="H262" s="7">
        <v>1800</v>
      </c>
      <c r="I262" s="8">
        <v>0</v>
      </c>
      <c r="J262" s="7">
        <v>7200</v>
      </c>
      <c r="K262" s="7">
        <v>709.71</v>
      </c>
      <c r="L262" t="s">
        <v>74</v>
      </c>
      <c r="M262" t="s">
        <v>75</v>
      </c>
    </row>
    <row r="263" spans="1:13">
      <c r="A263" t="s">
        <v>446</v>
      </c>
      <c r="B263" s="6">
        <v>45817</v>
      </c>
      <c r="C263" t="s">
        <v>372</v>
      </c>
      <c r="D263" t="s">
        <v>52</v>
      </c>
      <c r="E263" t="s">
        <v>53</v>
      </c>
      <c r="F263" t="s">
        <v>54</v>
      </c>
      <c r="G263">
        <v>3</v>
      </c>
      <c r="H263" s="7">
        <v>7800</v>
      </c>
      <c r="I263" s="8">
        <v>0.15</v>
      </c>
      <c r="J263" s="7">
        <v>19890</v>
      </c>
      <c r="K263" s="7">
        <v>857.65</v>
      </c>
      <c r="L263" t="s">
        <v>57</v>
      </c>
      <c r="M263" t="s">
        <v>75</v>
      </c>
    </row>
    <row r="264" spans="1:13">
      <c r="A264" t="s">
        <v>447</v>
      </c>
      <c r="B264" s="6">
        <v>45692</v>
      </c>
      <c r="C264" t="s">
        <v>396</v>
      </c>
      <c r="D264" t="s">
        <v>40</v>
      </c>
      <c r="E264" t="s">
        <v>47</v>
      </c>
      <c r="F264" t="s">
        <v>48</v>
      </c>
      <c r="G264">
        <v>3</v>
      </c>
      <c r="H264" s="7">
        <v>52000</v>
      </c>
      <c r="I264" s="8">
        <v>0</v>
      </c>
      <c r="J264" s="7">
        <v>156000</v>
      </c>
      <c r="K264" s="7">
        <v>29381.4</v>
      </c>
      <c r="L264" t="s">
        <v>74</v>
      </c>
      <c r="M264" t="s">
        <v>44</v>
      </c>
    </row>
    <row r="265" spans="1:13">
      <c r="A265" t="s">
        <v>448</v>
      </c>
      <c r="B265" s="6">
        <v>45922</v>
      </c>
      <c r="C265" t="s">
        <v>327</v>
      </c>
      <c r="D265" t="s">
        <v>71</v>
      </c>
      <c r="E265" t="s">
        <v>41</v>
      </c>
      <c r="F265" t="s">
        <v>91</v>
      </c>
      <c r="G265">
        <v>4</v>
      </c>
      <c r="H265" s="7">
        <v>220</v>
      </c>
      <c r="I265" s="8">
        <v>0.05</v>
      </c>
      <c r="J265" s="7">
        <v>836</v>
      </c>
      <c r="K265" s="7">
        <v>158.96</v>
      </c>
      <c r="L265" t="s">
        <v>74</v>
      </c>
      <c r="M265" t="s">
        <v>44</v>
      </c>
    </row>
    <row r="266" spans="1:13">
      <c r="A266" t="s">
        <v>449</v>
      </c>
      <c r="B266" s="6">
        <v>45985</v>
      </c>
      <c r="C266" t="s">
        <v>148</v>
      </c>
      <c r="D266" t="s">
        <v>52</v>
      </c>
      <c r="E266" t="s">
        <v>47</v>
      </c>
      <c r="F266" t="s">
        <v>98</v>
      </c>
      <c r="G266">
        <v>4</v>
      </c>
      <c r="H266" s="7">
        <v>14500</v>
      </c>
      <c r="I266" s="8">
        <v>0.2</v>
      </c>
      <c r="J266" s="7">
        <v>46400</v>
      </c>
      <c r="K266" s="7">
        <v>3653</v>
      </c>
      <c r="L266" t="s">
        <v>49</v>
      </c>
      <c r="M266" t="s">
        <v>44</v>
      </c>
    </row>
    <row r="267" spans="1:13">
      <c r="A267" t="s">
        <v>450</v>
      </c>
      <c r="B267" s="6">
        <v>45763</v>
      </c>
      <c r="C267" t="s">
        <v>451</v>
      </c>
      <c r="D267" t="s">
        <v>40</v>
      </c>
      <c r="E267" t="s">
        <v>47</v>
      </c>
      <c r="F267" t="s">
        <v>98</v>
      </c>
      <c r="G267">
        <v>3</v>
      </c>
      <c r="H267" s="7">
        <v>14500</v>
      </c>
      <c r="I267" s="8">
        <v>0.1</v>
      </c>
      <c r="J267" s="7">
        <v>39150</v>
      </c>
      <c r="K267" s="7">
        <v>2996.22</v>
      </c>
      <c r="L267" t="s">
        <v>49</v>
      </c>
      <c r="M267" t="s">
        <v>75</v>
      </c>
    </row>
    <row r="268" spans="1:13">
      <c r="A268" t="s">
        <v>452</v>
      </c>
      <c r="B268" s="6">
        <v>46001</v>
      </c>
      <c r="C268" t="s">
        <v>453</v>
      </c>
      <c r="D268" t="s">
        <v>56</v>
      </c>
      <c r="E268" t="s">
        <v>66</v>
      </c>
      <c r="F268" t="s">
        <v>149</v>
      </c>
      <c r="G268">
        <v>5</v>
      </c>
      <c r="H268" s="7">
        <v>1800</v>
      </c>
      <c r="I268" s="8">
        <v>0</v>
      </c>
      <c r="J268" s="7">
        <v>9000</v>
      </c>
      <c r="K268" s="7">
        <v>1221.01</v>
      </c>
      <c r="L268" t="s">
        <v>57</v>
      </c>
      <c r="M268" t="s">
        <v>44</v>
      </c>
    </row>
    <row r="269" spans="1:13">
      <c r="A269" t="s">
        <v>454</v>
      </c>
      <c r="B269" s="6">
        <v>46002</v>
      </c>
      <c r="C269" t="s">
        <v>396</v>
      </c>
      <c r="D269" t="s">
        <v>40</v>
      </c>
      <c r="E269" t="s">
        <v>53</v>
      </c>
      <c r="F269" t="s">
        <v>119</v>
      </c>
      <c r="G269">
        <v>1</v>
      </c>
      <c r="H269" s="7">
        <v>6500</v>
      </c>
      <c r="I269" s="8">
        <v>0.05</v>
      </c>
      <c r="J269" s="7">
        <v>6175</v>
      </c>
      <c r="K269" s="7">
        <v>687.65</v>
      </c>
      <c r="L269" t="s">
        <v>74</v>
      </c>
      <c r="M269" t="s">
        <v>75</v>
      </c>
    </row>
    <row r="270" spans="1:13">
      <c r="A270" t="s">
        <v>455</v>
      </c>
      <c r="B270" s="6">
        <v>46013</v>
      </c>
      <c r="C270" t="s">
        <v>242</v>
      </c>
      <c r="D270" t="s">
        <v>52</v>
      </c>
      <c r="E270" t="s">
        <v>66</v>
      </c>
      <c r="F270" t="s">
        <v>78</v>
      </c>
      <c r="G270">
        <v>5</v>
      </c>
      <c r="H270" s="7">
        <v>700</v>
      </c>
      <c r="I270" s="8">
        <v>0.15</v>
      </c>
      <c r="J270" s="7">
        <v>2975</v>
      </c>
      <c r="K270" s="7">
        <v>283.18</v>
      </c>
      <c r="L270" t="s">
        <v>57</v>
      </c>
      <c r="M270" t="s">
        <v>44</v>
      </c>
    </row>
    <row r="271" spans="1:13">
      <c r="A271" t="s">
        <v>456</v>
      </c>
      <c r="B271" s="6">
        <v>45942</v>
      </c>
      <c r="C271" t="s">
        <v>95</v>
      </c>
      <c r="D271" t="s">
        <v>52</v>
      </c>
      <c r="E271" t="s">
        <v>41</v>
      </c>
      <c r="F271" t="s">
        <v>42</v>
      </c>
      <c r="G271">
        <v>2</v>
      </c>
      <c r="H271" s="7">
        <v>120</v>
      </c>
      <c r="I271" s="8">
        <v>0.1</v>
      </c>
      <c r="J271" s="7">
        <v>216</v>
      </c>
      <c r="K271" s="7">
        <v>38.82</v>
      </c>
      <c r="L271" t="s">
        <v>43</v>
      </c>
      <c r="M271" t="s">
        <v>44</v>
      </c>
    </row>
    <row r="272" spans="1:13">
      <c r="A272" t="s">
        <v>457</v>
      </c>
      <c r="B272" s="6">
        <v>45841</v>
      </c>
      <c r="C272" t="s">
        <v>84</v>
      </c>
      <c r="D272" t="s">
        <v>52</v>
      </c>
      <c r="E272" t="s">
        <v>53</v>
      </c>
      <c r="F272" t="s">
        <v>162</v>
      </c>
      <c r="G272">
        <v>4</v>
      </c>
      <c r="H272" s="7">
        <v>12000</v>
      </c>
      <c r="I272" s="8">
        <v>0.2</v>
      </c>
      <c r="J272" s="7">
        <v>38400</v>
      </c>
      <c r="K272" s="7">
        <v>3489.41</v>
      </c>
      <c r="L272" t="s">
        <v>57</v>
      </c>
      <c r="M272" t="s">
        <v>75</v>
      </c>
    </row>
    <row r="273" spans="1:13">
      <c r="A273" t="s">
        <v>458</v>
      </c>
      <c r="B273" s="6">
        <v>46008</v>
      </c>
      <c r="C273" t="s">
        <v>453</v>
      </c>
      <c r="D273" t="s">
        <v>52</v>
      </c>
      <c r="E273" t="s">
        <v>66</v>
      </c>
      <c r="F273" t="s">
        <v>149</v>
      </c>
      <c r="G273">
        <v>2</v>
      </c>
      <c r="H273" s="7">
        <v>1800</v>
      </c>
      <c r="I273" s="8">
        <v>0</v>
      </c>
      <c r="J273" s="7">
        <v>3600</v>
      </c>
      <c r="K273" s="7">
        <v>613.66999999999996</v>
      </c>
      <c r="L273" t="s">
        <v>74</v>
      </c>
      <c r="M273" t="s">
        <v>75</v>
      </c>
    </row>
    <row r="274" spans="1:13">
      <c r="A274" t="s">
        <v>459</v>
      </c>
      <c r="B274" s="6">
        <v>45674</v>
      </c>
      <c r="C274" t="s">
        <v>227</v>
      </c>
      <c r="D274" t="s">
        <v>71</v>
      </c>
      <c r="E274" t="s">
        <v>41</v>
      </c>
      <c r="F274" t="s">
        <v>42</v>
      </c>
      <c r="G274">
        <v>4</v>
      </c>
      <c r="H274" s="7">
        <v>120</v>
      </c>
      <c r="I274" s="8">
        <v>0.2</v>
      </c>
      <c r="J274" s="7">
        <v>384</v>
      </c>
      <c r="K274" s="7">
        <v>49.46</v>
      </c>
      <c r="L274" t="s">
        <v>57</v>
      </c>
      <c r="M274" t="s">
        <v>44</v>
      </c>
    </row>
    <row r="275" spans="1:13">
      <c r="A275" t="s">
        <v>460</v>
      </c>
      <c r="B275" s="6">
        <v>45951</v>
      </c>
      <c r="C275" t="s">
        <v>123</v>
      </c>
      <c r="D275" t="s">
        <v>56</v>
      </c>
      <c r="E275" t="s">
        <v>41</v>
      </c>
      <c r="F275" t="s">
        <v>121</v>
      </c>
      <c r="G275">
        <v>6</v>
      </c>
      <c r="H275" s="7">
        <v>450</v>
      </c>
      <c r="I275" s="8">
        <v>0.15</v>
      </c>
      <c r="J275" s="7">
        <v>2295</v>
      </c>
      <c r="K275" s="7">
        <v>263.73</v>
      </c>
      <c r="L275" t="s">
        <v>57</v>
      </c>
      <c r="M275" t="s">
        <v>44</v>
      </c>
    </row>
    <row r="276" spans="1:13">
      <c r="A276" t="s">
        <v>461</v>
      </c>
      <c r="B276" s="6">
        <v>45992</v>
      </c>
      <c r="C276" t="s">
        <v>115</v>
      </c>
      <c r="D276" t="s">
        <v>56</v>
      </c>
      <c r="E276" t="s">
        <v>47</v>
      </c>
      <c r="F276" t="s">
        <v>60</v>
      </c>
      <c r="G276">
        <v>3</v>
      </c>
      <c r="H276" s="7">
        <v>2500</v>
      </c>
      <c r="I276" s="8">
        <v>0.1</v>
      </c>
      <c r="J276" s="7">
        <v>6750</v>
      </c>
      <c r="K276" s="7">
        <v>1234.93</v>
      </c>
      <c r="L276" t="s">
        <v>49</v>
      </c>
      <c r="M276" t="s">
        <v>75</v>
      </c>
    </row>
    <row r="277" spans="1:13">
      <c r="A277" t="s">
        <v>461</v>
      </c>
      <c r="B277" s="6">
        <v>45718</v>
      </c>
      <c r="C277" t="s">
        <v>102</v>
      </c>
      <c r="D277" t="s">
        <v>71</v>
      </c>
      <c r="E277" t="s">
        <v>41</v>
      </c>
      <c r="F277" t="s">
        <v>91</v>
      </c>
      <c r="G277">
        <v>2</v>
      </c>
      <c r="H277" s="7">
        <v>220</v>
      </c>
      <c r="I277" s="8">
        <v>0.2</v>
      </c>
      <c r="J277" s="7">
        <v>352</v>
      </c>
      <c r="K277" s="7">
        <v>11.36</v>
      </c>
      <c r="L277" t="s">
        <v>74</v>
      </c>
      <c r="M277" t="s">
        <v>44</v>
      </c>
    </row>
    <row r="278" spans="1:13">
      <c r="A278" t="s">
        <v>462</v>
      </c>
      <c r="B278" s="6">
        <v>45688</v>
      </c>
      <c r="C278" t="s">
        <v>294</v>
      </c>
      <c r="D278" t="s">
        <v>56</v>
      </c>
      <c r="E278" t="s">
        <v>53</v>
      </c>
      <c r="F278" t="s">
        <v>119</v>
      </c>
      <c r="G278">
        <v>6</v>
      </c>
      <c r="H278" s="7">
        <v>6500</v>
      </c>
      <c r="I278" s="8">
        <v>0.1</v>
      </c>
      <c r="J278" s="7">
        <v>35100</v>
      </c>
      <c r="K278" s="7">
        <v>3204.4</v>
      </c>
      <c r="L278" t="s">
        <v>68</v>
      </c>
      <c r="M278" t="s">
        <v>44</v>
      </c>
    </row>
    <row r="279" spans="1:13">
      <c r="A279" t="s">
        <v>463</v>
      </c>
      <c r="B279" s="6">
        <v>45727</v>
      </c>
      <c r="C279" t="s">
        <v>345</v>
      </c>
      <c r="D279" t="s">
        <v>40</v>
      </c>
      <c r="E279" t="s">
        <v>41</v>
      </c>
      <c r="F279" t="s">
        <v>42</v>
      </c>
      <c r="G279">
        <v>6</v>
      </c>
      <c r="H279" s="7">
        <v>120</v>
      </c>
      <c r="I279" s="8">
        <v>0.05</v>
      </c>
      <c r="J279" s="7">
        <v>684</v>
      </c>
      <c r="K279" s="7">
        <v>70.069999999999993</v>
      </c>
      <c r="L279" t="s">
        <v>68</v>
      </c>
      <c r="M279" t="s">
        <v>44</v>
      </c>
    </row>
    <row r="280" spans="1:13">
      <c r="A280" t="s">
        <v>464</v>
      </c>
      <c r="B280" s="6">
        <v>46004</v>
      </c>
      <c r="C280" t="s">
        <v>465</v>
      </c>
      <c r="D280" t="s">
        <v>52</v>
      </c>
      <c r="E280" t="s">
        <v>53</v>
      </c>
      <c r="F280" t="s">
        <v>119</v>
      </c>
      <c r="G280">
        <v>6</v>
      </c>
      <c r="H280" s="7">
        <v>6500</v>
      </c>
      <c r="I280" s="8">
        <v>0.15</v>
      </c>
      <c r="J280" s="7">
        <v>33150</v>
      </c>
      <c r="K280" s="7">
        <v>2901.54</v>
      </c>
      <c r="L280" t="s">
        <v>49</v>
      </c>
      <c r="M280" t="s">
        <v>44</v>
      </c>
    </row>
    <row r="281" spans="1:13">
      <c r="A281" t="s">
        <v>466</v>
      </c>
      <c r="B281" s="6">
        <v>45864</v>
      </c>
      <c r="C281" t="s">
        <v>151</v>
      </c>
      <c r="D281" t="s">
        <v>56</v>
      </c>
      <c r="E281" t="s">
        <v>41</v>
      </c>
      <c r="F281" t="s">
        <v>91</v>
      </c>
      <c r="G281">
        <v>4</v>
      </c>
      <c r="H281" s="7">
        <v>220</v>
      </c>
      <c r="I281" s="8">
        <v>0.1</v>
      </c>
      <c r="J281" s="7">
        <v>792</v>
      </c>
      <c r="K281" s="7">
        <v>109.39</v>
      </c>
      <c r="L281" t="s">
        <v>49</v>
      </c>
      <c r="M281" t="s">
        <v>75</v>
      </c>
    </row>
    <row r="282" spans="1:13">
      <c r="A282" t="s">
        <v>467</v>
      </c>
      <c r="B282" s="6">
        <v>45983</v>
      </c>
      <c r="C282" t="s">
        <v>410</v>
      </c>
      <c r="D282" t="s">
        <v>40</v>
      </c>
      <c r="E282" t="s">
        <v>66</v>
      </c>
      <c r="F282" t="s">
        <v>78</v>
      </c>
      <c r="G282">
        <v>4</v>
      </c>
      <c r="H282" s="7">
        <v>700</v>
      </c>
      <c r="I282" s="8">
        <v>0.05</v>
      </c>
      <c r="J282" s="7">
        <v>2660</v>
      </c>
      <c r="K282" s="7">
        <v>376.8</v>
      </c>
      <c r="L282" t="s">
        <v>68</v>
      </c>
      <c r="M282" t="s">
        <v>75</v>
      </c>
    </row>
    <row r="283" spans="1:13">
      <c r="A283" t="s">
        <v>468</v>
      </c>
      <c r="B283" s="6">
        <v>45830</v>
      </c>
      <c r="C283" t="s">
        <v>127</v>
      </c>
      <c r="D283" t="s">
        <v>52</v>
      </c>
      <c r="E283" t="s">
        <v>41</v>
      </c>
      <c r="F283" t="s">
        <v>121</v>
      </c>
      <c r="G283">
        <v>1</v>
      </c>
      <c r="H283" s="7">
        <v>450</v>
      </c>
      <c r="I283" s="8">
        <v>0</v>
      </c>
      <c r="J283" s="7">
        <v>450</v>
      </c>
      <c r="K283" s="7">
        <v>81.08</v>
      </c>
      <c r="L283" t="s">
        <v>57</v>
      </c>
      <c r="M283" t="s">
        <v>44</v>
      </c>
    </row>
    <row r="284" spans="1:13">
      <c r="A284" t="s">
        <v>469</v>
      </c>
      <c r="B284" s="6">
        <v>45721</v>
      </c>
      <c r="C284" t="s">
        <v>82</v>
      </c>
      <c r="D284" t="s">
        <v>52</v>
      </c>
      <c r="E284" t="s">
        <v>66</v>
      </c>
      <c r="F284" t="s">
        <v>135</v>
      </c>
      <c r="G284">
        <v>4</v>
      </c>
      <c r="H284" s="7">
        <v>900</v>
      </c>
      <c r="I284" s="8">
        <v>0.05</v>
      </c>
      <c r="J284" s="7">
        <v>3420</v>
      </c>
      <c r="K284" s="7">
        <v>758.59</v>
      </c>
      <c r="L284" t="s">
        <v>74</v>
      </c>
      <c r="M284" t="s">
        <v>75</v>
      </c>
    </row>
    <row r="285" spans="1:13">
      <c r="A285" t="s">
        <v>470</v>
      </c>
      <c r="B285" s="6">
        <v>45739</v>
      </c>
      <c r="C285" t="s">
        <v>227</v>
      </c>
      <c r="D285" t="s">
        <v>40</v>
      </c>
      <c r="E285" t="s">
        <v>41</v>
      </c>
      <c r="F285" t="s">
        <v>85</v>
      </c>
      <c r="G285">
        <v>1</v>
      </c>
      <c r="H285" s="7">
        <v>1600</v>
      </c>
      <c r="I285" s="8">
        <v>0.1</v>
      </c>
      <c r="J285" s="7">
        <v>1440</v>
      </c>
      <c r="K285" s="7">
        <v>217.9</v>
      </c>
      <c r="L285" t="s">
        <v>74</v>
      </c>
      <c r="M285" t="s">
        <v>44</v>
      </c>
    </row>
    <row r="286" spans="1:13">
      <c r="A286" t="s">
        <v>471</v>
      </c>
      <c r="B286" s="6">
        <v>45860</v>
      </c>
      <c r="C286" t="s">
        <v>283</v>
      </c>
      <c r="D286" t="s">
        <v>71</v>
      </c>
      <c r="E286" t="s">
        <v>66</v>
      </c>
      <c r="F286" t="s">
        <v>135</v>
      </c>
      <c r="G286">
        <v>6</v>
      </c>
      <c r="H286" s="7">
        <v>900</v>
      </c>
      <c r="I286" s="8">
        <v>0</v>
      </c>
      <c r="J286" s="7">
        <v>5400</v>
      </c>
      <c r="K286" s="7">
        <v>432.94</v>
      </c>
      <c r="L286" t="s">
        <v>57</v>
      </c>
      <c r="M286" t="s">
        <v>44</v>
      </c>
    </row>
    <row r="287" spans="1:13">
      <c r="A287" t="s">
        <v>472</v>
      </c>
      <c r="B287" s="6">
        <v>45725</v>
      </c>
      <c r="C287" t="s">
        <v>348</v>
      </c>
      <c r="D287" t="s">
        <v>52</v>
      </c>
      <c r="E287" t="s">
        <v>47</v>
      </c>
      <c r="F287" t="s">
        <v>48</v>
      </c>
      <c r="G287">
        <v>6</v>
      </c>
      <c r="H287" s="7">
        <v>52000</v>
      </c>
      <c r="I287" s="8">
        <v>0.1</v>
      </c>
      <c r="J287" s="7">
        <v>280800</v>
      </c>
      <c r="K287" s="7">
        <v>49347.07</v>
      </c>
      <c r="L287" t="s">
        <v>57</v>
      </c>
      <c r="M287" t="s">
        <v>44</v>
      </c>
    </row>
    <row r="288" spans="1:13">
      <c r="A288" t="s">
        <v>473</v>
      </c>
      <c r="B288" s="6">
        <v>45902</v>
      </c>
      <c r="C288" t="s">
        <v>209</v>
      </c>
      <c r="D288" t="s">
        <v>71</v>
      </c>
      <c r="E288" t="s">
        <v>66</v>
      </c>
      <c r="F288" t="s">
        <v>135</v>
      </c>
      <c r="G288">
        <v>6</v>
      </c>
      <c r="H288" s="7">
        <v>900</v>
      </c>
      <c r="I288" s="8">
        <v>0</v>
      </c>
      <c r="J288" s="7">
        <v>5400</v>
      </c>
      <c r="K288" s="7">
        <v>521.16999999999996</v>
      </c>
      <c r="L288" t="s">
        <v>68</v>
      </c>
      <c r="M288" t="s">
        <v>75</v>
      </c>
    </row>
    <row r="289" spans="1:13">
      <c r="A289" t="s">
        <v>474</v>
      </c>
      <c r="B289" s="6">
        <v>45728</v>
      </c>
      <c r="C289" t="s">
        <v>65</v>
      </c>
      <c r="D289" t="s">
        <v>71</v>
      </c>
      <c r="E289" t="s">
        <v>53</v>
      </c>
      <c r="F289" t="s">
        <v>63</v>
      </c>
      <c r="G289">
        <v>5</v>
      </c>
      <c r="H289" s="7">
        <v>8500</v>
      </c>
      <c r="I289" s="8">
        <v>0.2</v>
      </c>
      <c r="J289" s="7">
        <v>34000</v>
      </c>
      <c r="K289" s="7">
        <v>1020</v>
      </c>
      <c r="L289" t="s">
        <v>74</v>
      </c>
      <c r="M289" t="s">
        <v>75</v>
      </c>
    </row>
    <row r="290" spans="1:13">
      <c r="A290" t="s">
        <v>475</v>
      </c>
      <c r="B290" s="6">
        <v>45837</v>
      </c>
      <c r="C290" t="s">
        <v>186</v>
      </c>
      <c r="D290" t="s">
        <v>71</v>
      </c>
      <c r="E290" t="s">
        <v>66</v>
      </c>
      <c r="F290" t="s">
        <v>149</v>
      </c>
      <c r="G290">
        <v>2</v>
      </c>
      <c r="H290" s="7">
        <v>1800</v>
      </c>
      <c r="I290" s="8">
        <v>0</v>
      </c>
      <c r="J290" s="7">
        <v>3600</v>
      </c>
      <c r="K290" s="7">
        <v>804.44</v>
      </c>
      <c r="L290" t="s">
        <v>74</v>
      </c>
      <c r="M290" t="s">
        <v>44</v>
      </c>
    </row>
    <row r="291" spans="1:13">
      <c r="A291" t="s">
        <v>476</v>
      </c>
      <c r="B291" s="6">
        <v>45959</v>
      </c>
      <c r="C291" t="s">
        <v>154</v>
      </c>
      <c r="D291" t="s">
        <v>56</v>
      </c>
      <c r="E291" t="s">
        <v>66</v>
      </c>
      <c r="F291" t="s">
        <v>67</v>
      </c>
      <c r="G291">
        <v>2</v>
      </c>
      <c r="H291" s="7">
        <v>2200</v>
      </c>
      <c r="I291" s="8">
        <v>0.05</v>
      </c>
      <c r="J291" s="7">
        <v>4180</v>
      </c>
      <c r="K291" s="7">
        <v>446.49</v>
      </c>
      <c r="L291" t="s">
        <v>49</v>
      </c>
      <c r="M291" t="s">
        <v>44</v>
      </c>
    </row>
    <row r="292" spans="1:13">
      <c r="A292" t="s">
        <v>477</v>
      </c>
      <c r="B292" s="6">
        <v>45941</v>
      </c>
      <c r="C292" t="s">
        <v>478</v>
      </c>
      <c r="D292" t="s">
        <v>40</v>
      </c>
      <c r="E292" t="s">
        <v>41</v>
      </c>
      <c r="F292" t="s">
        <v>42</v>
      </c>
      <c r="G292">
        <v>5</v>
      </c>
      <c r="H292" s="7">
        <v>120</v>
      </c>
      <c r="I292" s="8">
        <v>0.2</v>
      </c>
      <c r="J292" s="7">
        <v>480</v>
      </c>
      <c r="K292" s="7">
        <v>43.93</v>
      </c>
      <c r="L292" t="s">
        <v>57</v>
      </c>
      <c r="M292" t="s">
        <v>75</v>
      </c>
    </row>
    <row r="293" spans="1:13">
      <c r="A293" t="s">
        <v>479</v>
      </c>
      <c r="B293" s="6">
        <v>45988</v>
      </c>
      <c r="C293" t="s">
        <v>480</v>
      </c>
      <c r="D293" t="s">
        <v>71</v>
      </c>
      <c r="E293" t="s">
        <v>66</v>
      </c>
      <c r="F293" t="s">
        <v>149</v>
      </c>
      <c r="G293">
        <v>1</v>
      </c>
      <c r="H293" s="7">
        <v>1800</v>
      </c>
      <c r="I293" s="8">
        <v>0.05</v>
      </c>
      <c r="J293" s="7">
        <v>1710</v>
      </c>
      <c r="K293" s="7">
        <v>243.56</v>
      </c>
      <c r="L293" t="s">
        <v>43</v>
      </c>
      <c r="M293" t="s">
        <v>44</v>
      </c>
    </row>
    <row r="294" spans="1:13">
      <c r="A294" t="s">
        <v>481</v>
      </c>
      <c r="B294" s="6">
        <v>45928</v>
      </c>
      <c r="C294" t="s">
        <v>482</v>
      </c>
      <c r="D294" t="s">
        <v>56</v>
      </c>
      <c r="E294" t="s">
        <v>41</v>
      </c>
      <c r="F294" t="s">
        <v>42</v>
      </c>
      <c r="G294">
        <v>4</v>
      </c>
      <c r="H294" s="7">
        <v>120</v>
      </c>
      <c r="I294" s="8">
        <v>0.2</v>
      </c>
      <c r="J294" s="7">
        <v>384</v>
      </c>
      <c r="K294" s="7">
        <v>29.7</v>
      </c>
      <c r="L294" t="s">
        <v>43</v>
      </c>
      <c r="M294" t="s">
        <v>44</v>
      </c>
    </row>
    <row r="295" spans="1:13">
      <c r="A295" t="s">
        <v>483</v>
      </c>
      <c r="B295" s="6">
        <v>45899</v>
      </c>
      <c r="C295" t="s">
        <v>209</v>
      </c>
      <c r="D295" t="s">
        <v>40</v>
      </c>
      <c r="E295" t="s">
        <v>47</v>
      </c>
      <c r="F295" t="s">
        <v>48</v>
      </c>
      <c r="G295">
        <v>3</v>
      </c>
      <c r="H295" s="7">
        <v>52000</v>
      </c>
      <c r="I295" s="8">
        <v>0.05</v>
      </c>
      <c r="J295" s="7">
        <v>148200</v>
      </c>
      <c r="K295" s="7">
        <v>10206.870000000001</v>
      </c>
      <c r="L295" t="s">
        <v>49</v>
      </c>
      <c r="M295" t="s">
        <v>75</v>
      </c>
    </row>
    <row r="296" spans="1:13">
      <c r="A296" t="s">
        <v>484</v>
      </c>
      <c r="B296" s="6">
        <v>45917</v>
      </c>
      <c r="C296" t="s">
        <v>237</v>
      </c>
      <c r="D296" t="s">
        <v>52</v>
      </c>
      <c r="E296" t="s">
        <v>485</v>
      </c>
      <c r="F296" t="s">
        <v>149</v>
      </c>
      <c r="G296">
        <v>1</v>
      </c>
      <c r="H296" s="7">
        <v>1800</v>
      </c>
      <c r="I296" s="8">
        <v>0.2</v>
      </c>
      <c r="J296" s="7">
        <v>1440</v>
      </c>
      <c r="K296" s="7">
        <v>138.28</v>
      </c>
      <c r="L296" t="s">
        <v>74</v>
      </c>
      <c r="M296" t="s">
        <v>75</v>
      </c>
    </row>
    <row r="297" spans="1:13">
      <c r="A297" t="s">
        <v>486</v>
      </c>
      <c r="B297" s="6">
        <v>45700</v>
      </c>
      <c r="C297" t="s">
        <v>292</v>
      </c>
      <c r="D297" t="s">
        <v>40</v>
      </c>
      <c r="E297" t="s">
        <v>53</v>
      </c>
      <c r="F297" t="s">
        <v>162</v>
      </c>
      <c r="G297">
        <v>5</v>
      </c>
      <c r="H297" s="7">
        <v>12000</v>
      </c>
      <c r="I297" s="8">
        <v>0.1</v>
      </c>
      <c r="J297" s="7">
        <v>54000</v>
      </c>
      <c r="K297" s="7">
        <v>5805.92</v>
      </c>
      <c r="L297" t="s">
        <v>49</v>
      </c>
      <c r="M297" t="s">
        <v>75</v>
      </c>
    </row>
    <row r="298" spans="1:13">
      <c r="A298" t="s">
        <v>487</v>
      </c>
      <c r="B298" s="6">
        <v>46015</v>
      </c>
      <c r="C298" t="s">
        <v>335</v>
      </c>
      <c r="D298" t="s">
        <v>71</v>
      </c>
      <c r="E298" t="s">
        <v>47</v>
      </c>
      <c r="F298" t="s">
        <v>98</v>
      </c>
      <c r="G298">
        <v>1</v>
      </c>
      <c r="H298" s="7">
        <v>14500</v>
      </c>
      <c r="I298" s="8">
        <v>0.15</v>
      </c>
      <c r="J298" s="7">
        <v>12325</v>
      </c>
      <c r="K298" s="7">
        <v>567.66</v>
      </c>
      <c r="L298" t="s">
        <v>43</v>
      </c>
      <c r="M298" t="s">
        <v>44</v>
      </c>
    </row>
    <row r="299" spans="1:13">
      <c r="A299" t="s">
        <v>488</v>
      </c>
      <c r="B299" s="6">
        <v>45816</v>
      </c>
      <c r="C299" t="s">
        <v>327</v>
      </c>
      <c r="D299" t="s">
        <v>40</v>
      </c>
      <c r="E299" t="s">
        <v>47</v>
      </c>
      <c r="F299" t="s">
        <v>98</v>
      </c>
      <c r="G299">
        <v>6</v>
      </c>
      <c r="H299" s="7">
        <v>14500</v>
      </c>
      <c r="I299" s="8">
        <v>0</v>
      </c>
      <c r="J299" s="7">
        <v>87000</v>
      </c>
      <c r="K299" s="7">
        <v>9240.5499999999993</v>
      </c>
      <c r="L299" t="s">
        <v>68</v>
      </c>
      <c r="M299" t="s">
        <v>75</v>
      </c>
    </row>
    <row r="300" spans="1:13">
      <c r="A300" t="s">
        <v>489</v>
      </c>
      <c r="B300" s="6">
        <v>45743</v>
      </c>
      <c r="C300" t="s">
        <v>490</v>
      </c>
      <c r="D300" t="s">
        <v>71</v>
      </c>
      <c r="E300" t="s">
        <v>41</v>
      </c>
      <c r="F300" t="s">
        <v>121</v>
      </c>
      <c r="G300">
        <v>1</v>
      </c>
      <c r="H300" s="7">
        <v>450</v>
      </c>
      <c r="I300" s="8">
        <v>0.1</v>
      </c>
      <c r="J300" s="7">
        <v>405</v>
      </c>
      <c r="K300" s="7">
        <v>70.53</v>
      </c>
      <c r="L300" t="s">
        <v>68</v>
      </c>
      <c r="M300" t="s">
        <v>44</v>
      </c>
    </row>
    <row r="301" spans="1:13">
      <c r="A301" t="s">
        <v>491</v>
      </c>
      <c r="B301" s="6">
        <v>45792</v>
      </c>
      <c r="C301" t="s">
        <v>296</v>
      </c>
      <c r="D301" t="s">
        <v>52</v>
      </c>
      <c r="E301" t="s">
        <v>66</v>
      </c>
      <c r="F301" t="s">
        <v>67</v>
      </c>
      <c r="G301">
        <v>1</v>
      </c>
      <c r="H301" s="7">
        <v>2200</v>
      </c>
      <c r="I301" s="8">
        <v>0.15</v>
      </c>
      <c r="J301" s="7">
        <v>1870</v>
      </c>
      <c r="K301" s="7">
        <v>308.55</v>
      </c>
      <c r="L301" t="s">
        <v>74</v>
      </c>
      <c r="M301" t="s">
        <v>75</v>
      </c>
    </row>
    <row r="302" spans="1:13">
      <c r="A302" t="s">
        <v>492</v>
      </c>
      <c r="B302" s="6">
        <v>45738</v>
      </c>
      <c r="C302" t="s">
        <v>285</v>
      </c>
      <c r="D302" t="s">
        <v>40</v>
      </c>
      <c r="E302" t="s">
        <v>47</v>
      </c>
      <c r="F302" t="s">
        <v>98</v>
      </c>
      <c r="G302">
        <v>6</v>
      </c>
      <c r="H302" s="7">
        <v>14500</v>
      </c>
      <c r="I302" s="8">
        <v>0.2</v>
      </c>
      <c r="J302" s="7">
        <v>69600</v>
      </c>
      <c r="K302" s="7">
        <v>2088</v>
      </c>
      <c r="L302" t="s">
        <v>49</v>
      </c>
      <c r="M302" t="s">
        <v>44</v>
      </c>
    </row>
    <row r="303" spans="1:13">
      <c r="A303" t="s">
        <v>493</v>
      </c>
      <c r="B303" s="6">
        <v>45681</v>
      </c>
      <c r="C303" t="s">
        <v>215</v>
      </c>
      <c r="D303" t="s">
        <v>56</v>
      </c>
      <c r="E303" t="s">
        <v>66</v>
      </c>
      <c r="F303" t="s">
        <v>78</v>
      </c>
      <c r="G303">
        <v>2</v>
      </c>
      <c r="H303" s="7">
        <v>700</v>
      </c>
      <c r="I303" s="8">
        <v>0</v>
      </c>
      <c r="J303" s="7">
        <v>1400</v>
      </c>
      <c r="K303" s="7">
        <v>235.84</v>
      </c>
      <c r="L303" t="s">
        <v>57</v>
      </c>
      <c r="M303" t="s">
        <v>44</v>
      </c>
    </row>
    <row r="304" spans="1:13">
      <c r="A304" t="s">
        <v>494</v>
      </c>
      <c r="B304" s="6">
        <v>45822</v>
      </c>
      <c r="C304" t="s">
        <v>115</v>
      </c>
      <c r="D304" t="s">
        <v>52</v>
      </c>
      <c r="E304" t="s">
        <v>41</v>
      </c>
      <c r="F304" t="s">
        <v>85</v>
      </c>
      <c r="G304">
        <v>1</v>
      </c>
      <c r="H304" s="7">
        <v>1600</v>
      </c>
      <c r="I304" s="8">
        <v>0.2</v>
      </c>
      <c r="J304" s="7">
        <v>1280</v>
      </c>
      <c r="K304" s="7">
        <v>89.15</v>
      </c>
      <c r="L304" t="s">
        <v>43</v>
      </c>
      <c r="M304" t="s">
        <v>44</v>
      </c>
    </row>
    <row r="305" spans="1:13">
      <c r="A305" t="s">
        <v>495</v>
      </c>
      <c r="B305" s="6">
        <v>45749</v>
      </c>
      <c r="C305" t="s">
        <v>348</v>
      </c>
      <c r="D305" t="s">
        <v>40</v>
      </c>
      <c r="E305" t="s">
        <v>66</v>
      </c>
      <c r="F305" t="s">
        <v>135</v>
      </c>
      <c r="G305">
        <v>4</v>
      </c>
      <c r="H305" s="7">
        <v>900</v>
      </c>
      <c r="I305" s="8">
        <v>0.1</v>
      </c>
      <c r="J305" s="7">
        <v>3240</v>
      </c>
      <c r="K305" s="7">
        <v>546.79999999999995</v>
      </c>
      <c r="L305" t="s">
        <v>68</v>
      </c>
      <c r="M305" t="s">
        <v>75</v>
      </c>
    </row>
    <row r="306" spans="1:13">
      <c r="A306" t="s">
        <v>496</v>
      </c>
      <c r="B306" s="6">
        <v>45702</v>
      </c>
      <c r="C306" t="s">
        <v>497</v>
      </c>
      <c r="D306" t="s">
        <v>40</v>
      </c>
      <c r="E306" t="s">
        <v>41</v>
      </c>
      <c r="F306" t="s">
        <v>42</v>
      </c>
      <c r="G306">
        <v>3</v>
      </c>
      <c r="H306" s="7">
        <v>120</v>
      </c>
      <c r="I306" s="8">
        <v>0.2</v>
      </c>
      <c r="J306" s="7">
        <v>288</v>
      </c>
      <c r="K306" s="7">
        <v>39.03</v>
      </c>
      <c r="L306" t="s">
        <v>43</v>
      </c>
      <c r="M306" t="s">
        <v>44</v>
      </c>
    </row>
    <row r="307" spans="1:13">
      <c r="A307" t="s">
        <v>498</v>
      </c>
      <c r="B307" s="6">
        <v>45895</v>
      </c>
      <c r="C307" t="s">
        <v>260</v>
      </c>
      <c r="D307" t="s">
        <v>52</v>
      </c>
      <c r="E307" t="s">
        <v>53</v>
      </c>
      <c r="F307" t="s">
        <v>162</v>
      </c>
      <c r="G307">
        <v>2</v>
      </c>
      <c r="H307" s="7">
        <v>12000</v>
      </c>
      <c r="I307" s="8">
        <v>0</v>
      </c>
      <c r="J307" s="7">
        <v>24000</v>
      </c>
      <c r="K307" s="7">
        <v>5500.41</v>
      </c>
      <c r="L307" t="s">
        <v>49</v>
      </c>
      <c r="M307" t="s">
        <v>44</v>
      </c>
    </row>
    <row r="308" spans="1:13">
      <c r="A308" t="s">
        <v>499</v>
      </c>
      <c r="B308" s="6">
        <v>45935</v>
      </c>
      <c r="C308" t="s">
        <v>59</v>
      </c>
      <c r="D308" t="s">
        <v>40</v>
      </c>
      <c r="E308" t="s">
        <v>41</v>
      </c>
      <c r="F308" t="s">
        <v>121</v>
      </c>
      <c r="G308">
        <v>6</v>
      </c>
      <c r="H308" s="7">
        <v>450</v>
      </c>
      <c r="I308" s="8">
        <v>0.15</v>
      </c>
      <c r="J308" s="7">
        <v>2295</v>
      </c>
      <c r="K308" s="7">
        <v>374.87</v>
      </c>
      <c r="L308" t="s">
        <v>68</v>
      </c>
      <c r="M308" t="s">
        <v>44</v>
      </c>
    </row>
    <row r="309" spans="1:13">
      <c r="A309" t="s">
        <v>500</v>
      </c>
      <c r="B309" s="6">
        <v>45763</v>
      </c>
      <c r="C309" t="s">
        <v>191</v>
      </c>
      <c r="D309" t="s">
        <v>71</v>
      </c>
      <c r="E309" t="s">
        <v>66</v>
      </c>
      <c r="F309" t="s">
        <v>149</v>
      </c>
      <c r="G309">
        <v>1</v>
      </c>
      <c r="H309" s="7">
        <v>1800</v>
      </c>
      <c r="I309" s="8">
        <v>0.05</v>
      </c>
      <c r="J309" s="7">
        <v>1710</v>
      </c>
      <c r="K309" s="7">
        <v>301.58</v>
      </c>
      <c r="L309" t="s">
        <v>49</v>
      </c>
      <c r="M309" t="s">
        <v>44</v>
      </c>
    </row>
    <row r="310" spans="1:13">
      <c r="A310" t="s">
        <v>501</v>
      </c>
      <c r="B310" s="6">
        <v>45776</v>
      </c>
      <c r="C310" t="s">
        <v>502</v>
      </c>
      <c r="D310" t="s">
        <v>52</v>
      </c>
      <c r="E310" t="s">
        <v>41</v>
      </c>
      <c r="F310" t="s">
        <v>91</v>
      </c>
      <c r="G310">
        <v>6</v>
      </c>
      <c r="H310" s="7">
        <v>220</v>
      </c>
      <c r="I310" s="8">
        <v>0</v>
      </c>
      <c r="J310" s="7">
        <v>1320</v>
      </c>
      <c r="K310" s="7">
        <v>228.26</v>
      </c>
      <c r="L310" t="s">
        <v>43</v>
      </c>
      <c r="M310" t="s">
        <v>44</v>
      </c>
    </row>
    <row r="311" spans="1:13">
      <c r="A311" t="s">
        <v>503</v>
      </c>
      <c r="B311" s="6">
        <v>45984</v>
      </c>
      <c r="C311" t="s">
        <v>465</v>
      </c>
      <c r="D311" t="s">
        <v>40</v>
      </c>
      <c r="E311" t="s">
        <v>47</v>
      </c>
      <c r="F311" t="s">
        <v>60</v>
      </c>
      <c r="G311">
        <v>6</v>
      </c>
      <c r="H311" s="7">
        <v>2500</v>
      </c>
      <c r="I311" s="8">
        <v>0.05</v>
      </c>
      <c r="J311" s="7">
        <v>14250</v>
      </c>
      <c r="K311" s="7">
        <v>1430.46</v>
      </c>
      <c r="L311" t="s">
        <v>68</v>
      </c>
      <c r="M311" t="s">
        <v>75</v>
      </c>
    </row>
    <row r="312" spans="1:13">
      <c r="A312" t="s">
        <v>504</v>
      </c>
      <c r="B312" s="6">
        <v>45859</v>
      </c>
      <c r="C312" t="s">
        <v>73</v>
      </c>
      <c r="D312" t="s">
        <v>56</v>
      </c>
      <c r="E312" t="s">
        <v>66</v>
      </c>
      <c r="F312" t="s">
        <v>67</v>
      </c>
      <c r="G312">
        <v>2</v>
      </c>
      <c r="H312" s="7">
        <v>2200</v>
      </c>
      <c r="I312" s="8">
        <v>0</v>
      </c>
      <c r="J312" s="7">
        <v>4400</v>
      </c>
      <c r="K312" s="7">
        <v>1016.26</v>
      </c>
      <c r="L312" t="s">
        <v>74</v>
      </c>
      <c r="M312" t="s">
        <v>44</v>
      </c>
    </row>
    <row r="313" spans="1:13">
      <c r="A313" t="s">
        <v>505</v>
      </c>
      <c r="B313" s="6">
        <v>45737</v>
      </c>
      <c r="D313" t="s">
        <v>71</v>
      </c>
      <c r="E313" t="s">
        <v>66</v>
      </c>
      <c r="F313" t="s">
        <v>149</v>
      </c>
      <c r="G313">
        <v>3</v>
      </c>
      <c r="H313" s="7">
        <v>1800</v>
      </c>
      <c r="I313" s="8">
        <v>0.15</v>
      </c>
      <c r="J313" s="7">
        <v>4590</v>
      </c>
      <c r="K313" s="7">
        <v>214.89</v>
      </c>
      <c r="L313" t="s">
        <v>68</v>
      </c>
      <c r="M313" t="s">
        <v>44</v>
      </c>
    </row>
    <row r="314" spans="1:13">
      <c r="A314" t="s">
        <v>506</v>
      </c>
      <c r="B314" s="6">
        <v>45889</v>
      </c>
      <c r="C314" t="s">
        <v>283</v>
      </c>
      <c r="D314" t="s">
        <v>52</v>
      </c>
      <c r="E314" t="s">
        <v>41</v>
      </c>
      <c r="F314" t="s">
        <v>121</v>
      </c>
      <c r="G314">
        <v>1</v>
      </c>
      <c r="H314" s="7">
        <v>450</v>
      </c>
      <c r="I314" s="8">
        <v>0.05</v>
      </c>
      <c r="J314" s="7">
        <v>427.5</v>
      </c>
      <c r="K314" s="7">
        <v>81.96</v>
      </c>
      <c r="L314" t="s">
        <v>68</v>
      </c>
      <c r="M314" t="s">
        <v>44</v>
      </c>
    </row>
    <row r="315" spans="1:13">
      <c r="A315" t="s">
        <v>507</v>
      </c>
      <c r="B315" s="6">
        <v>45768</v>
      </c>
      <c r="C315" t="s">
        <v>73</v>
      </c>
      <c r="D315" t="s">
        <v>71</v>
      </c>
      <c r="E315" t="s">
        <v>47</v>
      </c>
      <c r="F315" t="s">
        <v>98</v>
      </c>
      <c r="G315">
        <v>3</v>
      </c>
      <c r="H315" s="7">
        <v>14500</v>
      </c>
      <c r="I315" s="8">
        <v>0.15</v>
      </c>
      <c r="J315" s="7">
        <v>36975</v>
      </c>
      <c r="K315" s="7">
        <v>4054.44</v>
      </c>
      <c r="L315" t="s">
        <v>68</v>
      </c>
      <c r="M315" t="s">
        <v>75</v>
      </c>
    </row>
    <row r="316" spans="1:13">
      <c r="A316" t="s">
        <v>508</v>
      </c>
      <c r="B316" s="6">
        <v>45747</v>
      </c>
      <c r="C316" t="s">
        <v>222</v>
      </c>
      <c r="D316" t="s">
        <v>52</v>
      </c>
      <c r="E316" t="s">
        <v>66</v>
      </c>
      <c r="F316" t="s">
        <v>78</v>
      </c>
      <c r="G316">
        <v>1</v>
      </c>
      <c r="H316" s="7">
        <v>700</v>
      </c>
      <c r="I316" s="8">
        <v>0.15</v>
      </c>
      <c r="J316" s="7">
        <v>595</v>
      </c>
      <c r="K316" s="7">
        <v>26.06</v>
      </c>
      <c r="L316" t="s">
        <v>74</v>
      </c>
      <c r="M316" t="s">
        <v>44</v>
      </c>
    </row>
    <row r="317" spans="1:13">
      <c r="A317" t="s">
        <v>509</v>
      </c>
      <c r="B317" s="6">
        <v>45664</v>
      </c>
      <c r="C317" t="s">
        <v>203</v>
      </c>
      <c r="D317" t="s">
        <v>71</v>
      </c>
      <c r="E317" t="s">
        <v>53</v>
      </c>
      <c r="F317" t="s">
        <v>162</v>
      </c>
      <c r="G317">
        <v>4</v>
      </c>
      <c r="H317" s="7">
        <v>12000</v>
      </c>
      <c r="I317" s="8">
        <v>0.1</v>
      </c>
      <c r="J317" s="7">
        <v>43200</v>
      </c>
      <c r="K317" s="7">
        <v>6687.6</v>
      </c>
      <c r="L317" t="s">
        <v>49</v>
      </c>
      <c r="M317" t="s">
        <v>75</v>
      </c>
    </row>
    <row r="318" spans="1:13">
      <c r="A318" t="s">
        <v>510</v>
      </c>
      <c r="B318" s="6">
        <v>45696</v>
      </c>
      <c r="C318" t="s">
        <v>511</v>
      </c>
      <c r="D318" t="s">
        <v>40</v>
      </c>
      <c r="E318" t="s">
        <v>53</v>
      </c>
      <c r="F318" t="s">
        <v>54</v>
      </c>
      <c r="G318">
        <v>2</v>
      </c>
      <c r="H318" s="7">
        <v>7800</v>
      </c>
      <c r="I318" s="8">
        <v>0</v>
      </c>
      <c r="J318" s="7">
        <v>15600</v>
      </c>
      <c r="K318" s="7">
        <v>3507.07</v>
      </c>
      <c r="L318" t="s">
        <v>68</v>
      </c>
      <c r="M318" t="s">
        <v>44</v>
      </c>
    </row>
    <row r="319" spans="1:13">
      <c r="A319" t="s">
        <v>512</v>
      </c>
      <c r="B319" s="6">
        <v>45679</v>
      </c>
      <c r="C319" t="s">
        <v>224</v>
      </c>
      <c r="D319" t="s">
        <v>40</v>
      </c>
      <c r="E319" t="s">
        <v>53</v>
      </c>
      <c r="F319" t="s">
        <v>54</v>
      </c>
      <c r="G319">
        <v>6</v>
      </c>
      <c r="H319" s="7">
        <v>7800</v>
      </c>
      <c r="I319" s="8">
        <v>0.15</v>
      </c>
      <c r="J319" s="7">
        <v>39780</v>
      </c>
      <c r="K319" s="7">
        <v>4251.7</v>
      </c>
      <c r="L319" t="s">
        <v>57</v>
      </c>
      <c r="M319" t="s">
        <v>75</v>
      </c>
    </row>
    <row r="320" spans="1:13">
      <c r="A320" t="s">
        <v>513</v>
      </c>
      <c r="B320" s="6">
        <v>45746</v>
      </c>
      <c r="C320" t="s">
        <v>443</v>
      </c>
      <c r="D320" t="s">
        <v>71</v>
      </c>
      <c r="E320" t="s">
        <v>53</v>
      </c>
      <c r="F320" t="s">
        <v>119</v>
      </c>
      <c r="G320">
        <v>3</v>
      </c>
      <c r="H320" s="7">
        <v>6500</v>
      </c>
      <c r="I320" s="8">
        <v>0.15</v>
      </c>
      <c r="J320" s="7">
        <v>16575</v>
      </c>
      <c r="K320" s="7">
        <v>2798.65</v>
      </c>
      <c r="L320" t="s">
        <v>49</v>
      </c>
      <c r="M320" t="s">
        <v>44</v>
      </c>
    </row>
    <row r="321" spans="1:13">
      <c r="A321" t="s">
        <v>514</v>
      </c>
      <c r="B321" s="6">
        <v>45989</v>
      </c>
      <c r="C321" t="s">
        <v>62</v>
      </c>
      <c r="D321" t="s">
        <v>52</v>
      </c>
      <c r="E321" t="s">
        <v>66</v>
      </c>
      <c r="F321" t="s">
        <v>149</v>
      </c>
      <c r="G321">
        <v>1</v>
      </c>
      <c r="H321" s="7">
        <v>1800</v>
      </c>
      <c r="I321" s="8">
        <v>0</v>
      </c>
      <c r="J321" s="7">
        <v>1800</v>
      </c>
      <c r="K321" s="7">
        <v>224.58</v>
      </c>
      <c r="L321" t="s">
        <v>74</v>
      </c>
      <c r="M321" t="s">
        <v>75</v>
      </c>
    </row>
    <row r="322" spans="1:13">
      <c r="A322" t="s">
        <v>515</v>
      </c>
      <c r="B322" s="6">
        <v>45760</v>
      </c>
      <c r="C322" t="s">
        <v>233</v>
      </c>
      <c r="D322" t="s">
        <v>71</v>
      </c>
      <c r="E322" t="s">
        <v>47</v>
      </c>
      <c r="F322" t="s">
        <v>60</v>
      </c>
      <c r="G322">
        <v>6</v>
      </c>
      <c r="H322" s="7">
        <v>2500</v>
      </c>
      <c r="I322" s="8">
        <v>0.1</v>
      </c>
      <c r="J322" s="7">
        <v>13500</v>
      </c>
      <c r="K322" s="7">
        <v>1643.62</v>
      </c>
      <c r="L322" t="s">
        <v>57</v>
      </c>
      <c r="M322" t="s">
        <v>75</v>
      </c>
    </row>
    <row r="323" spans="1:13">
      <c r="A323" t="s">
        <v>516</v>
      </c>
      <c r="B323" s="6">
        <v>45947</v>
      </c>
      <c r="C323" t="s">
        <v>87</v>
      </c>
      <c r="D323" t="s">
        <v>56</v>
      </c>
      <c r="E323" t="s">
        <v>66</v>
      </c>
      <c r="F323" t="s">
        <v>67</v>
      </c>
      <c r="G323">
        <v>2</v>
      </c>
      <c r="H323" s="7">
        <v>2200</v>
      </c>
      <c r="I323" s="8">
        <v>0</v>
      </c>
      <c r="J323" s="7">
        <v>4400</v>
      </c>
      <c r="K323" s="7">
        <v>576.49</v>
      </c>
      <c r="L323" t="s">
        <v>74</v>
      </c>
      <c r="M323" t="s">
        <v>44</v>
      </c>
    </row>
    <row r="324" spans="1:13">
      <c r="A324" t="s">
        <v>517</v>
      </c>
      <c r="B324" s="6">
        <v>45801</v>
      </c>
      <c r="C324" t="s">
        <v>518</v>
      </c>
      <c r="D324" t="s">
        <v>52</v>
      </c>
      <c r="E324" t="s">
        <v>41</v>
      </c>
      <c r="F324" t="s">
        <v>42</v>
      </c>
      <c r="G324">
        <v>2</v>
      </c>
      <c r="H324" s="7">
        <v>120</v>
      </c>
      <c r="I324" s="8">
        <v>0</v>
      </c>
      <c r="J324" s="7">
        <v>240</v>
      </c>
      <c r="K324" s="7">
        <v>28.72</v>
      </c>
      <c r="L324" t="s">
        <v>74</v>
      </c>
      <c r="M324" t="s">
        <v>75</v>
      </c>
    </row>
    <row r="325" spans="1:13">
      <c r="A325" t="s">
        <v>519</v>
      </c>
      <c r="B325" s="6">
        <v>45931</v>
      </c>
      <c r="C325" t="s">
        <v>518</v>
      </c>
      <c r="D325" t="s">
        <v>71</v>
      </c>
      <c r="E325" t="s">
        <v>66</v>
      </c>
      <c r="F325" t="s">
        <v>67</v>
      </c>
      <c r="G325">
        <v>2</v>
      </c>
      <c r="H325" s="7">
        <v>2200</v>
      </c>
      <c r="I325" s="8">
        <v>0.05</v>
      </c>
      <c r="J325" s="7">
        <v>4180</v>
      </c>
      <c r="K325" s="7">
        <v>419.46</v>
      </c>
      <c r="L325" t="s">
        <v>68</v>
      </c>
      <c r="M325" t="s">
        <v>75</v>
      </c>
    </row>
    <row r="326" spans="1:13">
      <c r="A326" t="s">
        <v>520</v>
      </c>
      <c r="B326" s="6">
        <v>45960</v>
      </c>
      <c r="C326" t="s">
        <v>222</v>
      </c>
      <c r="D326" t="s">
        <v>56</v>
      </c>
      <c r="E326" t="s">
        <v>53</v>
      </c>
      <c r="F326" t="s">
        <v>162</v>
      </c>
      <c r="G326">
        <v>4</v>
      </c>
      <c r="H326" s="7">
        <v>12000</v>
      </c>
      <c r="I326" s="8">
        <v>0.2</v>
      </c>
      <c r="J326" s="7">
        <v>38400</v>
      </c>
      <c r="K326" s="7">
        <v>2282.8200000000002</v>
      </c>
      <c r="L326" t="s">
        <v>57</v>
      </c>
      <c r="M326" t="s">
        <v>44</v>
      </c>
    </row>
    <row r="327" spans="1:13">
      <c r="A327" t="s">
        <v>521</v>
      </c>
      <c r="B327" s="6">
        <v>45704</v>
      </c>
      <c r="C327" t="s">
        <v>518</v>
      </c>
      <c r="D327" t="s">
        <v>71</v>
      </c>
      <c r="E327" t="s">
        <v>53</v>
      </c>
      <c r="F327" t="s">
        <v>63</v>
      </c>
      <c r="G327">
        <v>5</v>
      </c>
      <c r="H327" s="7">
        <v>8500</v>
      </c>
      <c r="I327" s="8">
        <v>0.15</v>
      </c>
      <c r="J327" s="7">
        <v>36125</v>
      </c>
      <c r="K327" s="7">
        <v>1083.75</v>
      </c>
      <c r="L327" t="s">
        <v>43</v>
      </c>
      <c r="M327" t="s">
        <v>44</v>
      </c>
    </row>
    <row r="328" spans="1:13">
      <c r="A328" t="s">
        <v>522</v>
      </c>
      <c r="B328" s="6">
        <v>45724</v>
      </c>
      <c r="C328" t="s">
        <v>372</v>
      </c>
      <c r="D328" t="s">
        <v>71</v>
      </c>
      <c r="E328" t="s">
        <v>41</v>
      </c>
      <c r="F328" t="s">
        <v>121</v>
      </c>
      <c r="G328">
        <v>1</v>
      </c>
      <c r="H328" s="7">
        <v>450</v>
      </c>
      <c r="I328" s="8">
        <v>0.05</v>
      </c>
      <c r="J328" s="7">
        <v>427.5</v>
      </c>
      <c r="K328" s="7">
        <v>66.84</v>
      </c>
      <c r="L328" t="s">
        <v>74</v>
      </c>
      <c r="M328" t="s">
        <v>44</v>
      </c>
    </row>
    <row r="329" spans="1:13">
      <c r="A329" t="s">
        <v>523</v>
      </c>
      <c r="B329" s="6">
        <v>45927</v>
      </c>
      <c r="C329" t="s">
        <v>253</v>
      </c>
      <c r="D329" t="s">
        <v>40</v>
      </c>
      <c r="E329" t="s">
        <v>41</v>
      </c>
      <c r="F329" t="s">
        <v>91</v>
      </c>
      <c r="G329">
        <v>5</v>
      </c>
      <c r="H329" s="7">
        <v>220</v>
      </c>
      <c r="I329" s="8">
        <v>0</v>
      </c>
      <c r="J329" s="7">
        <v>1100</v>
      </c>
      <c r="K329" s="7">
        <v>147.22999999999999</v>
      </c>
      <c r="L329" t="s">
        <v>68</v>
      </c>
      <c r="M329" t="s">
        <v>44</v>
      </c>
    </row>
    <row r="330" spans="1:13">
      <c r="A330" t="s">
        <v>524</v>
      </c>
      <c r="B330" s="6">
        <v>45738</v>
      </c>
      <c r="C330" t="s">
        <v>335</v>
      </c>
      <c r="D330" t="s">
        <v>52</v>
      </c>
      <c r="E330" t="s">
        <v>41</v>
      </c>
      <c r="F330" t="s">
        <v>42</v>
      </c>
      <c r="G330">
        <v>6</v>
      </c>
      <c r="H330" s="7">
        <v>120</v>
      </c>
      <c r="I330" s="8">
        <v>0.2</v>
      </c>
      <c r="J330" s="7">
        <v>576</v>
      </c>
      <c r="K330" s="7">
        <v>69.680000000000007</v>
      </c>
      <c r="L330" t="s">
        <v>43</v>
      </c>
      <c r="M330" t="s">
        <v>75</v>
      </c>
    </row>
    <row r="331" spans="1:13">
      <c r="A331" t="s">
        <v>525</v>
      </c>
      <c r="B331" s="6">
        <v>45772</v>
      </c>
      <c r="C331" t="s">
        <v>327</v>
      </c>
      <c r="D331" t="s">
        <v>52</v>
      </c>
      <c r="E331" t="s">
        <v>41</v>
      </c>
      <c r="F331" t="s">
        <v>85</v>
      </c>
      <c r="G331">
        <v>2</v>
      </c>
      <c r="H331" s="7">
        <v>1600</v>
      </c>
      <c r="I331" s="8">
        <v>0.05</v>
      </c>
      <c r="J331" s="7">
        <v>3040</v>
      </c>
      <c r="K331" s="7">
        <v>544.5</v>
      </c>
      <c r="L331" t="s">
        <v>43</v>
      </c>
      <c r="M331" t="s">
        <v>75</v>
      </c>
    </row>
    <row r="332" spans="1:13">
      <c r="A332" t="s">
        <v>526</v>
      </c>
      <c r="B332" s="6">
        <v>45948</v>
      </c>
      <c r="C332" t="s">
        <v>527</v>
      </c>
      <c r="E332" t="s">
        <v>41</v>
      </c>
      <c r="F332" t="s">
        <v>42</v>
      </c>
      <c r="G332">
        <v>6</v>
      </c>
      <c r="H332" s="7">
        <v>120</v>
      </c>
      <c r="I332" s="8">
        <v>0.2</v>
      </c>
      <c r="J332" s="7">
        <v>576</v>
      </c>
      <c r="K332" s="7">
        <v>17.28</v>
      </c>
      <c r="L332" t="s">
        <v>57</v>
      </c>
      <c r="M332" t="s">
        <v>44</v>
      </c>
    </row>
    <row r="333" spans="1:13">
      <c r="A333" t="s">
        <v>528</v>
      </c>
      <c r="B333" s="6">
        <v>45827</v>
      </c>
      <c r="C333" t="s">
        <v>296</v>
      </c>
      <c r="D333" t="s">
        <v>71</v>
      </c>
      <c r="E333" t="s">
        <v>41</v>
      </c>
      <c r="F333" t="s">
        <v>85</v>
      </c>
      <c r="G333">
        <v>2</v>
      </c>
      <c r="H333" s="7">
        <v>1600</v>
      </c>
      <c r="I333" s="8">
        <v>0</v>
      </c>
      <c r="J333" s="7">
        <v>3200</v>
      </c>
      <c r="K333" s="7">
        <v>676.69</v>
      </c>
      <c r="L333" t="s">
        <v>68</v>
      </c>
      <c r="M333" t="s">
        <v>75</v>
      </c>
    </row>
    <row r="334" spans="1:13">
      <c r="A334" t="s">
        <v>529</v>
      </c>
      <c r="B334" s="6">
        <v>45663</v>
      </c>
      <c r="C334" t="s">
        <v>125</v>
      </c>
      <c r="D334" t="s">
        <v>71</v>
      </c>
      <c r="E334" t="s">
        <v>53</v>
      </c>
      <c r="F334" t="s">
        <v>63</v>
      </c>
      <c r="G334">
        <v>3</v>
      </c>
      <c r="H334" s="7">
        <v>8500</v>
      </c>
      <c r="I334" s="8">
        <v>0.1</v>
      </c>
      <c r="J334" s="7">
        <v>22950</v>
      </c>
      <c r="K334" s="7">
        <v>3922.69</v>
      </c>
      <c r="L334" t="s">
        <v>49</v>
      </c>
      <c r="M334" t="s">
        <v>44</v>
      </c>
    </row>
    <row r="335" spans="1:13">
      <c r="A335" t="s">
        <v>530</v>
      </c>
      <c r="B335" s="6">
        <v>45855</v>
      </c>
      <c r="C335" t="s">
        <v>303</v>
      </c>
      <c r="D335" t="s">
        <v>52</v>
      </c>
      <c r="E335" t="s">
        <v>53</v>
      </c>
      <c r="F335" t="s">
        <v>54</v>
      </c>
      <c r="G335">
        <v>4</v>
      </c>
      <c r="H335" s="7">
        <v>7800</v>
      </c>
      <c r="I335" s="8">
        <v>0.15</v>
      </c>
      <c r="J335" s="7">
        <v>26520</v>
      </c>
      <c r="K335" s="7">
        <v>2219.64</v>
      </c>
      <c r="L335" t="s">
        <v>57</v>
      </c>
      <c r="M335" t="s">
        <v>44</v>
      </c>
    </row>
    <row r="336" spans="1:13">
      <c r="A336" t="s">
        <v>531</v>
      </c>
      <c r="B336" s="6">
        <v>45903</v>
      </c>
      <c r="C336" t="s">
        <v>348</v>
      </c>
      <c r="D336" t="s">
        <v>71</v>
      </c>
      <c r="E336" t="s">
        <v>66</v>
      </c>
      <c r="F336" t="s">
        <v>135</v>
      </c>
      <c r="G336">
        <v>1</v>
      </c>
      <c r="H336" s="7">
        <v>900</v>
      </c>
      <c r="I336" s="8">
        <v>0.1</v>
      </c>
      <c r="J336" s="7">
        <v>810</v>
      </c>
      <c r="K336" s="7">
        <v>39.049999999999997</v>
      </c>
      <c r="L336" t="s">
        <v>68</v>
      </c>
      <c r="M336" t="s">
        <v>44</v>
      </c>
    </row>
    <row r="337" spans="1:13">
      <c r="A337" t="s">
        <v>532</v>
      </c>
      <c r="B337" s="6">
        <v>45695</v>
      </c>
      <c r="C337" t="s">
        <v>372</v>
      </c>
      <c r="D337" t="s">
        <v>71</v>
      </c>
      <c r="E337" t="s">
        <v>66</v>
      </c>
      <c r="F337" t="s">
        <v>78</v>
      </c>
      <c r="G337">
        <v>6</v>
      </c>
      <c r="H337" s="7">
        <v>700</v>
      </c>
      <c r="I337" s="8">
        <v>0</v>
      </c>
      <c r="J337" s="7">
        <v>4200</v>
      </c>
      <c r="K337" s="7">
        <v>703.62</v>
      </c>
      <c r="L337" t="s">
        <v>49</v>
      </c>
      <c r="M337" t="s">
        <v>75</v>
      </c>
    </row>
    <row r="338" spans="1:13">
      <c r="A338" t="s">
        <v>533</v>
      </c>
      <c r="B338" s="6">
        <v>45962</v>
      </c>
      <c r="C338" t="s">
        <v>251</v>
      </c>
      <c r="D338" t="s">
        <v>40</v>
      </c>
      <c r="E338" t="s">
        <v>66</v>
      </c>
      <c r="F338" t="s">
        <v>78</v>
      </c>
      <c r="G338">
        <v>5</v>
      </c>
      <c r="H338" s="7">
        <v>700</v>
      </c>
      <c r="I338" s="8">
        <v>0.15</v>
      </c>
      <c r="J338" s="7">
        <v>2975</v>
      </c>
      <c r="K338" s="7">
        <v>156.59</v>
      </c>
      <c r="L338" t="s">
        <v>49</v>
      </c>
      <c r="M338" t="s">
        <v>75</v>
      </c>
    </row>
    <row r="339" spans="1:13">
      <c r="A339" t="s">
        <v>534</v>
      </c>
      <c r="B339" s="6">
        <v>45763</v>
      </c>
      <c r="C339" t="s">
        <v>111</v>
      </c>
      <c r="D339" t="s">
        <v>52</v>
      </c>
      <c r="E339" t="s">
        <v>41</v>
      </c>
      <c r="F339" t="s">
        <v>85</v>
      </c>
      <c r="G339">
        <v>3</v>
      </c>
      <c r="H339" s="7">
        <v>1600</v>
      </c>
      <c r="I339" s="8">
        <v>0.05</v>
      </c>
      <c r="J339" s="7">
        <v>4560</v>
      </c>
      <c r="K339" s="7">
        <v>354.98</v>
      </c>
      <c r="L339" t="s">
        <v>57</v>
      </c>
      <c r="M339" t="s">
        <v>75</v>
      </c>
    </row>
    <row r="340" spans="1:13">
      <c r="A340" t="s">
        <v>535</v>
      </c>
      <c r="B340" s="6">
        <v>45736</v>
      </c>
      <c r="C340" t="s">
        <v>480</v>
      </c>
      <c r="D340" t="s">
        <v>56</v>
      </c>
      <c r="E340" t="s">
        <v>47</v>
      </c>
      <c r="F340" t="s">
        <v>60</v>
      </c>
      <c r="G340">
        <v>1</v>
      </c>
      <c r="H340" s="7">
        <v>2500</v>
      </c>
      <c r="I340" s="8">
        <v>0.1</v>
      </c>
      <c r="J340" s="7">
        <v>2250</v>
      </c>
      <c r="K340" s="7">
        <v>397.85</v>
      </c>
      <c r="L340" t="s">
        <v>43</v>
      </c>
      <c r="M340" t="s">
        <v>75</v>
      </c>
    </row>
    <row r="341" spans="1:13">
      <c r="A341" t="s">
        <v>536</v>
      </c>
      <c r="B341" s="6">
        <v>45760</v>
      </c>
      <c r="C341" t="s">
        <v>275</v>
      </c>
      <c r="D341" t="s">
        <v>40</v>
      </c>
      <c r="E341" t="s">
        <v>53</v>
      </c>
      <c r="F341" t="s">
        <v>162</v>
      </c>
      <c r="G341">
        <v>6</v>
      </c>
      <c r="H341" s="7">
        <v>12000</v>
      </c>
      <c r="I341" s="8">
        <v>0.1</v>
      </c>
      <c r="J341" s="7">
        <v>64800</v>
      </c>
      <c r="K341" s="7">
        <v>13046.13</v>
      </c>
      <c r="L341" t="s">
        <v>57</v>
      </c>
      <c r="M341" t="s">
        <v>44</v>
      </c>
    </row>
    <row r="342" spans="1:13">
      <c r="A342" t="s">
        <v>537</v>
      </c>
      <c r="B342" s="6">
        <v>45815</v>
      </c>
      <c r="C342" t="s">
        <v>235</v>
      </c>
      <c r="D342" t="s">
        <v>52</v>
      </c>
      <c r="E342" t="s">
        <v>66</v>
      </c>
      <c r="F342" t="s">
        <v>67</v>
      </c>
      <c r="G342">
        <v>1</v>
      </c>
      <c r="H342" s="7">
        <v>2200</v>
      </c>
      <c r="I342" s="8">
        <v>0.2</v>
      </c>
      <c r="J342" s="7">
        <v>1760</v>
      </c>
      <c r="K342" s="7">
        <v>126.73</v>
      </c>
      <c r="L342" t="s">
        <v>68</v>
      </c>
      <c r="M342" t="s">
        <v>75</v>
      </c>
    </row>
    <row r="343" spans="1:13">
      <c r="A343" t="s">
        <v>538</v>
      </c>
      <c r="B343" s="6">
        <v>45847</v>
      </c>
      <c r="C343" t="s">
        <v>539</v>
      </c>
      <c r="D343" t="s">
        <v>52</v>
      </c>
      <c r="E343" t="s">
        <v>47</v>
      </c>
      <c r="F343" t="s">
        <v>88</v>
      </c>
      <c r="G343">
        <v>4</v>
      </c>
      <c r="H343" s="7">
        <v>1800</v>
      </c>
      <c r="I343" s="8">
        <v>0.15</v>
      </c>
      <c r="J343" s="7">
        <v>6120</v>
      </c>
      <c r="K343" s="7">
        <v>426.22</v>
      </c>
      <c r="L343" t="s">
        <v>68</v>
      </c>
      <c r="M343" t="s">
        <v>44</v>
      </c>
    </row>
    <row r="344" spans="1:13">
      <c r="A344" t="s">
        <v>540</v>
      </c>
      <c r="B344" s="6">
        <v>45735</v>
      </c>
      <c r="C344" t="s">
        <v>275</v>
      </c>
      <c r="D344" t="s">
        <v>40</v>
      </c>
      <c r="E344" t="s">
        <v>41</v>
      </c>
      <c r="F344" t="s">
        <v>91</v>
      </c>
      <c r="G344">
        <v>5</v>
      </c>
      <c r="H344" s="7">
        <v>220</v>
      </c>
      <c r="I344" s="8">
        <v>0.05</v>
      </c>
      <c r="J344" s="7">
        <v>1045</v>
      </c>
      <c r="K344" s="7">
        <v>157.87</v>
      </c>
      <c r="L344" t="s">
        <v>57</v>
      </c>
      <c r="M344" t="s">
        <v>75</v>
      </c>
    </row>
    <row r="345" spans="1:13">
      <c r="A345" t="s">
        <v>541</v>
      </c>
      <c r="B345" s="6">
        <v>45932</v>
      </c>
      <c r="C345" t="s">
        <v>104</v>
      </c>
      <c r="D345" t="s">
        <v>71</v>
      </c>
      <c r="E345" t="s">
        <v>66</v>
      </c>
      <c r="F345" t="s">
        <v>67</v>
      </c>
      <c r="G345">
        <v>1</v>
      </c>
      <c r="H345" s="7">
        <v>2200</v>
      </c>
      <c r="I345" s="8">
        <v>0.15</v>
      </c>
      <c r="J345" s="7">
        <v>1870</v>
      </c>
      <c r="K345" s="7">
        <v>321.54000000000002</v>
      </c>
      <c r="L345" t="s">
        <v>49</v>
      </c>
      <c r="M345" t="s">
        <v>44</v>
      </c>
    </row>
    <row r="346" spans="1:13">
      <c r="A346" t="s">
        <v>542</v>
      </c>
      <c r="B346" s="6">
        <v>45719</v>
      </c>
      <c r="C346" t="s">
        <v>229</v>
      </c>
      <c r="D346" t="s">
        <v>71</v>
      </c>
      <c r="E346" t="s">
        <v>53</v>
      </c>
      <c r="F346" t="s">
        <v>162</v>
      </c>
      <c r="G346">
        <v>2</v>
      </c>
      <c r="H346" s="7">
        <v>12000</v>
      </c>
      <c r="I346" s="8">
        <v>0.05</v>
      </c>
      <c r="J346" s="7">
        <v>22800</v>
      </c>
      <c r="K346" s="7">
        <v>1580.68</v>
      </c>
      <c r="L346" t="s">
        <v>49</v>
      </c>
      <c r="M346" t="s">
        <v>75</v>
      </c>
    </row>
    <row r="347" spans="1:13">
      <c r="A347" t="s">
        <v>543</v>
      </c>
      <c r="B347" s="6">
        <v>45761</v>
      </c>
      <c r="C347" t="s">
        <v>265</v>
      </c>
      <c r="D347" t="s">
        <v>56</v>
      </c>
      <c r="E347" t="s">
        <v>41</v>
      </c>
      <c r="F347" t="s">
        <v>121</v>
      </c>
      <c r="G347">
        <v>1</v>
      </c>
      <c r="H347" s="7">
        <v>450</v>
      </c>
      <c r="I347" s="8">
        <v>0.15</v>
      </c>
      <c r="J347" s="7">
        <v>382.5</v>
      </c>
      <c r="K347" s="7">
        <v>44.57</v>
      </c>
      <c r="L347" t="s">
        <v>43</v>
      </c>
      <c r="M347" t="s">
        <v>75</v>
      </c>
    </row>
    <row r="348" spans="1:13">
      <c r="A348" t="s">
        <v>544</v>
      </c>
      <c r="B348" s="6">
        <v>45799</v>
      </c>
      <c r="C348" t="s">
        <v>502</v>
      </c>
      <c r="D348" t="s">
        <v>52</v>
      </c>
      <c r="E348" t="s">
        <v>47</v>
      </c>
      <c r="F348" t="s">
        <v>60</v>
      </c>
      <c r="G348">
        <v>1</v>
      </c>
      <c r="H348" s="7">
        <v>2500</v>
      </c>
      <c r="I348" s="8">
        <v>0.15</v>
      </c>
      <c r="J348" s="7">
        <v>2125</v>
      </c>
      <c r="K348" s="7">
        <v>109.32</v>
      </c>
      <c r="L348" t="s">
        <v>43</v>
      </c>
      <c r="M348" t="s">
        <v>44</v>
      </c>
    </row>
    <row r="349" spans="1:13">
      <c r="A349" t="s">
        <v>545</v>
      </c>
      <c r="B349" s="6">
        <v>45712</v>
      </c>
      <c r="C349" t="s">
        <v>106</v>
      </c>
      <c r="D349" t="s">
        <v>56</v>
      </c>
      <c r="E349" t="s">
        <v>41</v>
      </c>
      <c r="F349" t="s">
        <v>91</v>
      </c>
      <c r="G349">
        <v>3</v>
      </c>
      <c r="H349" s="7">
        <v>220</v>
      </c>
      <c r="I349" s="8">
        <v>0.15</v>
      </c>
      <c r="J349" s="7">
        <v>561</v>
      </c>
      <c r="K349" s="7">
        <v>74.2</v>
      </c>
      <c r="L349" t="s">
        <v>43</v>
      </c>
      <c r="M349" t="s">
        <v>75</v>
      </c>
    </row>
    <row r="350" spans="1:13">
      <c r="A350" t="s">
        <v>546</v>
      </c>
      <c r="B350" s="6">
        <v>45677</v>
      </c>
      <c r="C350" t="s">
        <v>327</v>
      </c>
      <c r="D350" t="s">
        <v>56</v>
      </c>
      <c r="E350" t="s">
        <v>66</v>
      </c>
      <c r="F350" t="s">
        <v>78</v>
      </c>
      <c r="G350">
        <v>5</v>
      </c>
      <c r="H350" s="7">
        <v>700</v>
      </c>
      <c r="I350" s="8">
        <v>0.2</v>
      </c>
      <c r="J350" s="7">
        <v>2800</v>
      </c>
      <c r="K350" s="7">
        <v>333</v>
      </c>
      <c r="L350" t="s">
        <v>57</v>
      </c>
      <c r="M350" t="s">
        <v>44</v>
      </c>
    </row>
    <row r="351" spans="1:13">
      <c r="A351" t="s">
        <v>547</v>
      </c>
      <c r="B351" s="6">
        <v>45860</v>
      </c>
      <c r="C351" t="s">
        <v>164</v>
      </c>
      <c r="D351" t="s">
        <v>71</v>
      </c>
      <c r="E351" t="s">
        <v>47</v>
      </c>
      <c r="F351" t="s">
        <v>60</v>
      </c>
      <c r="G351">
        <v>3</v>
      </c>
      <c r="H351" s="7">
        <v>2500</v>
      </c>
      <c r="I351" s="8">
        <v>0.1</v>
      </c>
      <c r="J351" s="7">
        <v>6750</v>
      </c>
      <c r="K351" s="7">
        <v>325.60000000000002</v>
      </c>
      <c r="L351" t="s">
        <v>68</v>
      </c>
      <c r="M351" t="s">
        <v>75</v>
      </c>
    </row>
  </sheetData>
  <conditionalFormatting sqref="A2:A351">
    <cfRule type="duplicateValues" dxfId="5" priority="4"/>
    <cfRule type="expression" dxfId="4" priority="5">
      <formula>COUNTIF($A$2:$A$351,A2)&gt;1</formula>
    </cfRule>
  </conditionalFormatting>
  <conditionalFormatting sqref="B1:B1048576">
    <cfRule type="containsText" dxfId="3" priority="3" operator="containsText" text="          ">
      <formula>NOT(ISERROR(SEARCH("          ",B1)))</formula>
    </cfRule>
  </conditionalFormatting>
  <conditionalFormatting sqref="C1:C1048576">
    <cfRule type="containsText" dxfId="2" priority="2" operator="containsText" text="      ">
      <formula>NOT(ISERROR(SEARCH("      ",C1)))</formula>
    </cfRule>
  </conditionalFormatting>
  <conditionalFormatting sqref="C2:C351">
    <cfRule type="containsText" dxfId="1" priority="1" operator="containsText" text="          ">
      <formula>NOT(ISERROR(SEARCH("          ",C2)))</formula>
    </cfRule>
  </conditionalFormatting>
  <conditionalFormatting sqref="C2:D351">
    <cfRule type="expression" dxfId="0" priority="6">
      <formula>C2=""</formula>
    </cfRule>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opLeftCell="A15" workbookViewId="0">
      <selection activeCell="A30" sqref="A30"/>
    </sheetView>
  </sheetViews>
  <sheetFormatPr defaultRowHeight="13.8"/>
  <cols>
    <col min="1" max="1" width="23" customWidth="1"/>
    <col min="2" max="2" width="78" customWidth="1"/>
    <col min="4" max="4" width="31" customWidth="1"/>
  </cols>
  <sheetData>
    <row r="1" spans="1:8" ht="17.399999999999999">
      <c r="A1" s="14" t="s">
        <v>0</v>
      </c>
      <c r="B1" s="15"/>
      <c r="C1" s="15"/>
      <c r="D1" s="15"/>
      <c r="E1" s="15"/>
      <c r="F1" s="15"/>
      <c r="G1" s="15"/>
      <c r="H1" s="15"/>
    </row>
    <row r="3" spans="1:8" ht="27.6">
      <c r="A3" s="2" t="s">
        <v>1</v>
      </c>
      <c r="B3" s="3" t="s">
        <v>2</v>
      </c>
    </row>
    <row r="4" spans="1:8">
      <c r="A4" s="2" t="s">
        <v>3</v>
      </c>
      <c r="B4" s="3" t="s">
        <v>4</v>
      </c>
    </row>
    <row r="5" spans="1:8">
      <c r="A5" s="2" t="s">
        <v>5</v>
      </c>
      <c r="B5" s="3" t="s">
        <v>6</v>
      </c>
    </row>
    <row r="7" spans="1:8">
      <c r="A7" s="1" t="s">
        <v>7</v>
      </c>
      <c r="D7" s="1" t="s">
        <v>8</v>
      </c>
    </row>
    <row r="8" spans="1:8" ht="27.6">
      <c r="A8" s="3" t="s">
        <v>9</v>
      </c>
      <c r="D8" s="3" t="s">
        <v>10</v>
      </c>
    </row>
    <row r="9" spans="1:8" ht="27.6">
      <c r="A9" s="3" t="s">
        <v>11</v>
      </c>
      <c r="D9" s="3" t="s">
        <v>12</v>
      </c>
    </row>
    <row r="10" spans="1:8" ht="41.4">
      <c r="A10" s="3" t="s">
        <v>13</v>
      </c>
      <c r="D10" s="3" t="s">
        <v>14</v>
      </c>
    </row>
    <row r="11" spans="1:8" ht="27.6">
      <c r="A11" s="3" t="s">
        <v>15</v>
      </c>
      <c r="D11" s="3" t="s">
        <v>16</v>
      </c>
    </row>
    <row r="12" spans="1:8" ht="27.6">
      <c r="A12" s="3" t="s">
        <v>17</v>
      </c>
      <c r="D12" s="3" t="s">
        <v>18</v>
      </c>
    </row>
    <row r="13" spans="1:8" ht="27.6">
      <c r="A13" s="3" t="s">
        <v>19</v>
      </c>
      <c r="D13" s="3" t="s">
        <v>20</v>
      </c>
    </row>
    <row r="14" spans="1:8" ht="27.6">
      <c r="A14" s="3" t="s">
        <v>21</v>
      </c>
      <c r="D14" s="3" t="s">
        <v>22</v>
      </c>
    </row>
    <row r="15" spans="1:8" ht="41.4">
      <c r="A15" s="3" t="s">
        <v>23</v>
      </c>
    </row>
    <row r="17" spans="1:6">
      <c r="A17" s="16" t="s">
        <v>24</v>
      </c>
      <c r="B17" s="15"/>
      <c r="C17" s="15"/>
      <c r="D17" s="15"/>
      <c r="E17" s="15"/>
      <c r="F17" s="15"/>
    </row>
    <row r="19" spans="1:6" ht="15.6">
      <c r="A19" s="62" t="s">
        <v>673</v>
      </c>
    </row>
    <row r="20" spans="1:6">
      <c r="A20" s="63" t="s">
        <v>674</v>
      </c>
      <c r="B20" s="63"/>
      <c r="C20" s="63"/>
      <c r="D20" s="63"/>
    </row>
    <row r="21" spans="1:6">
      <c r="A21" s="63"/>
      <c r="B21" s="63"/>
      <c r="C21" s="63"/>
      <c r="D21" s="63"/>
    </row>
    <row r="22" spans="1:6">
      <c r="A22" s="63"/>
      <c r="B22" s="63"/>
      <c r="C22" s="63"/>
      <c r="D22" s="63"/>
    </row>
    <row r="24" spans="1:6" ht="15.6">
      <c r="A24" s="62" t="s">
        <v>675</v>
      </c>
    </row>
    <row r="25" spans="1:6">
      <c r="A25" s="63" t="s">
        <v>676</v>
      </c>
      <c r="B25" s="63"/>
      <c r="C25" s="63"/>
      <c r="D25" s="63"/>
    </row>
    <row r="27" spans="1:6" ht="15.6">
      <c r="A27" s="62" t="s">
        <v>677</v>
      </c>
    </row>
    <row r="28" spans="1:6">
      <c r="A28" s="63" t="s">
        <v>678</v>
      </c>
      <c r="B28" s="63"/>
      <c r="C28" s="63"/>
      <c r="D28" s="63"/>
    </row>
  </sheetData>
  <mergeCells count="5">
    <mergeCell ref="A1:H1"/>
    <mergeCell ref="A17:F17"/>
    <mergeCell ref="A20:D22"/>
    <mergeCell ref="A25:D25"/>
    <mergeCell ref="A28: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Analysis</vt:lpstr>
      <vt:lpstr>Pivot_Analysis</vt:lpstr>
      <vt:lpstr>Chart </vt:lpstr>
      <vt:lpstr>Chart_Data</vt:lpstr>
      <vt:lpstr>Cleaned_Sales_Data</vt:lpstr>
      <vt:lpstr>Cleaning_Log</vt:lpstr>
      <vt:lpstr>Data_Dictionary</vt:lpstr>
      <vt:lpstr>Raw_Sales_Data</vt:lpstr>
      <vt:lpstr>Project_Guide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YADAV</dc:creator>
  <cp:lastModifiedBy>AMAN YADAV</cp:lastModifiedBy>
  <dcterms:created xsi:type="dcterms:W3CDTF">2026-09-24T17:19:48Z</dcterms:created>
  <dcterms:modified xsi:type="dcterms:W3CDTF">2026-09-25T09:35:38Z</dcterms:modified>
</cp:coreProperties>
</file>